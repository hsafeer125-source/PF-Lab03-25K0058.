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 activeTab="2"/>
  </bookViews>
  <sheets>
    <sheet name="Sheet3" sheetId="4" r:id="rId1"/>
    <sheet name="Sheet4" sheetId="5" r:id="rId2"/>
    <sheet name="Annual Performance" sheetId="7" r:id="rId3"/>
    <sheet name="Performance Data" sheetId="1" r:id="rId4"/>
  </sheets>
  <calcPr calcId="162913"/>
  <pivotCaches>
    <pivotCache cacheId="0" r:id="rId5"/>
    <pivotCache cacheId="1" r:id="rId6"/>
    <pivotCache cacheId="2" r:id="rId7"/>
  </pivotCaches>
</workbook>
</file>

<file path=xl/calcChain.xml><?xml version="1.0" encoding="utf-8"?>
<calcChain xmlns="http://schemas.openxmlformats.org/spreadsheetml/2006/main">
  <c r="F123" i="1" l="1"/>
  <c r="E123" i="1"/>
  <c r="F122" i="1"/>
  <c r="E122" i="1"/>
</calcChain>
</file>

<file path=xl/sharedStrings.xml><?xml version="1.0" encoding="utf-8"?>
<sst xmlns="http://schemas.openxmlformats.org/spreadsheetml/2006/main" count="565" uniqueCount="55">
  <si>
    <t>Employee ID</t>
  </si>
  <si>
    <t>Name</t>
  </si>
  <si>
    <t>Department</t>
  </si>
  <si>
    <t>Month</t>
  </si>
  <si>
    <t>Performance Score</t>
  </si>
  <si>
    <t>Bonus Earned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</si>
  <si>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</si>
  <si>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</si>
  <si>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</si>
  <si>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</si>
  <si>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</si>
  <si>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</si>
  <si>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</si>
  <si>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</si>
  <si>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</si>
  <si>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</si>
  <si>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Ali Khan</t>
  </si>
  <si>
    <t>Sara Ahmed</t>
  </si>
  <si>
    <t>Imran Ali</t>
  </si>
  <si>
    <t>Mehak Mazhar</t>
  </si>
  <si>
    <t>Ahmed Raza</t>
  </si>
  <si>
    <t>Hina Tariq</t>
  </si>
  <si>
    <t>Bilal Hussain</t>
  </si>
  <si>
    <t>Sana Qureshi</t>
  </si>
  <si>
    <t>Usman Akhtar</t>
  </si>
  <si>
    <t>Ayesha Noor</t>
  </si>
  <si>
    <t>HR</t>
  </si>
  <si>
    <t>Marketing</t>
  </si>
  <si>
    <t>IT</t>
  </si>
  <si>
    <t>Sales</t>
  </si>
  <si>
    <t>Finance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</si>
  <si>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</si>
  <si>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</si>
  <si>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</si>
  <si>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</si>
  <si>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</si>
  <si>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</si>
  <si>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</si>
  <si>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</si>
  <si>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</si>
  <si>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</si>
  <si>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</si>
  <si>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</si>
  <si>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</si>
  <si>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</si>
  <si>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Row Labels</t>
  </si>
  <si>
    <t>Grand Total</t>
  </si>
  <si>
    <t>Average of Performance Score</t>
  </si>
  <si>
    <t>Average of Bonus Earned</t>
  </si>
  <si>
    <t>Column Labels</t>
  </si>
  <si>
    <t xml:space="preserve"> </t>
  </si>
  <si>
    <t>Monthly Average of Performance Score</t>
  </si>
  <si>
    <t>Monthly Total of Bonus Earned</t>
  </si>
  <si>
    <t>Yealy Average of Performance Score</t>
  </si>
  <si>
    <t>Yearly Bonus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</si>
</sst>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3" fillId="2" borderId="1" xfId="1" applyBorder="1" applyAlignment="1">
      <alignment horizontal="center" vertical="top"/>
    </xf>
    <xf numFmtId="0" fontId="3" fillId="2" borderId="2" xfId="1" applyBorder="1" applyAlignment="1">
      <alignment horizontal="center" vertical="top"/>
    </xf>
    <xf numFmtId="0" fontId="3" fillId="2" borderId="3" xfId="1" applyBorder="1" applyAlignment="1">
      <alignment horizontal="center" vertical="top"/>
    </xf>
    <xf numFmtId="0" fontId="2" fillId="3" borderId="0" xfId="2"/>
    <xf numFmtId="0" fontId="1" fillId="3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20% - Accent1" xfId="2" builtinId="30"/>
    <cellStyle name="Accent1" xfId="1" builtinId="29"/>
    <cellStyle name="Normal" xfId="0" builtinId="0"/>
  </cellStyles>
  <dxfs count="3">
    <dxf>
      <border outline="0">
        <top style="thin">
          <color auto="1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[Employee_Performance_Data.xlsx]Sheet3!PivotTable2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EMPLOYEE PERFORMANCE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83.736842105263165</c:v>
                </c:pt>
                <c:pt idx="1">
                  <c:v>84.5</c:v>
                </c:pt>
                <c:pt idx="2">
                  <c:v>81.958333333333329</c:v>
                </c:pt>
                <c:pt idx="3">
                  <c:v>84.09375</c:v>
                </c:pt>
                <c:pt idx="4">
                  <c:v>85.629629629629633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6-45D6-9C64-14B1A65B0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760784"/>
        <c:axId val="405756848"/>
        <c:axId val="0"/>
      </c:bar3DChart>
      <c:catAx>
        <c:axId val="4057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56848"/>
        <c:crosses val="autoZero"/>
        <c:auto val="1"/>
        <c:lblAlgn val="ctr"/>
        <c:lblOffset val="100"/>
        <c:noMultiLvlLbl val="0"/>
      </c:catAx>
      <c:valAx>
        <c:axId val="4057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6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[Employee_Performance_Data.xlsx]Sheet4!PivotTable3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BONUS DISTRUBUTION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222222222222221E-2"/>
          <c:y val="0.17581036745406825"/>
          <c:w val="0.73472222222222228"/>
          <c:h val="0.75474518810148727"/>
        </c:manualLayout>
      </c:layout>
      <c:pie3DChart>
        <c:varyColors val="1"/>
        <c:ser>
          <c:idx val="0"/>
          <c:order val="0"/>
          <c:tx>
            <c:strRef>
              <c:f>Sheet4!$B$5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29C-478C-9228-34A57FDE1E0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29C-478C-9228-34A57FDE1E0E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29C-478C-9228-34A57FDE1E0E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29C-478C-9228-34A57FDE1E0E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29C-478C-9228-34A57FDE1E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Sheet4!$A$6:$A$11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Sheet4!$B$6:$B$11</c:f>
              <c:numCache>
                <c:formatCode>General</c:formatCode>
                <c:ptCount val="5"/>
                <c:pt idx="0">
                  <c:v>4966</c:v>
                </c:pt>
                <c:pt idx="1">
                  <c:v>5193.5</c:v>
                </c:pt>
                <c:pt idx="2">
                  <c:v>5135.041666666667</c:v>
                </c:pt>
                <c:pt idx="3">
                  <c:v>5161.5625</c:v>
                </c:pt>
                <c:pt idx="4">
                  <c:v>5188.0370370370374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C-4988-ADC3-A846DE3D0D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[Employee_Performance_Data.xlsx]Annual Performance!PivotTable4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'Annual Performance'!$B$3:$B$4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Performance'!$B$5:$B$10</c:f>
              <c:numCache>
                <c:formatCode>General</c:formatCode>
                <c:ptCount val="5"/>
                <c:pt idx="0">
                  <c:v>85</c:v>
                </c:pt>
                <c:pt idx="1">
                  <c:v>83</c:v>
                </c:pt>
                <c:pt idx="2">
                  <c:v>72.5</c:v>
                </c:pt>
                <c:pt idx="3">
                  <c:v>88.666666666666671</c:v>
                </c:pt>
                <c:pt idx="4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B-46EF-A3EB-ADD74EC3D16D}"/>
            </c:ext>
          </c:extLst>
        </c:ser>
        <c:ser>
          <c:idx val="1"/>
          <c:order val="1"/>
          <c:tx>
            <c:strRef>
              <c:f>'Annual Performance'!$C$3:$C$4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Performance'!$C$5:$C$10</c:f>
              <c:numCache>
                <c:formatCode>General</c:formatCode>
                <c:ptCount val="5"/>
                <c:pt idx="0">
                  <c:v>89</c:v>
                </c:pt>
                <c:pt idx="1">
                  <c:v>70.5</c:v>
                </c:pt>
                <c:pt idx="2">
                  <c:v>82</c:v>
                </c:pt>
                <c:pt idx="3">
                  <c:v>81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B-46EF-A3EB-ADD74EC3D16D}"/>
            </c:ext>
          </c:extLst>
        </c:ser>
        <c:ser>
          <c:idx val="2"/>
          <c:order val="2"/>
          <c:tx>
            <c:strRef>
              <c:f>'Annual Performance'!$D$3:$D$4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Performance'!$D$5:$D$10</c:f>
              <c:numCache>
                <c:formatCode>General</c:formatCode>
                <c:ptCount val="5"/>
                <c:pt idx="0">
                  <c:v>81.5</c:v>
                </c:pt>
                <c:pt idx="1">
                  <c:v>92.333333333333329</c:v>
                </c:pt>
                <c:pt idx="2">
                  <c:v>72</c:v>
                </c:pt>
                <c:pt idx="3">
                  <c:v>77</c:v>
                </c:pt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B-46EF-A3EB-ADD74EC3D16D}"/>
            </c:ext>
          </c:extLst>
        </c:ser>
        <c:ser>
          <c:idx val="3"/>
          <c:order val="3"/>
          <c:tx>
            <c:strRef>
              <c:f>'Annual Performance'!$E$3:$E$4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Performance'!$E$5:$E$10</c:f>
              <c:numCache>
                <c:formatCode>General</c:formatCode>
                <c:ptCount val="5"/>
                <c:pt idx="0">
                  <c:v>92</c:v>
                </c:pt>
                <c:pt idx="1">
                  <c:v>92.5</c:v>
                </c:pt>
                <c:pt idx="2">
                  <c:v>84.5</c:v>
                </c:pt>
                <c:pt idx="3">
                  <c:v>82.5</c:v>
                </c:pt>
                <c:pt idx="4">
                  <c:v>78.333333333333329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1B-46EF-A3EB-ADD74EC3D16D}"/>
            </c:ext>
          </c:extLst>
        </c:ser>
        <c:ser>
          <c:idx val="4"/>
          <c:order val="4"/>
          <c:tx>
            <c:strRef>
              <c:f>'Annual Performance'!$F$3:$F$4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Performance'!$F$5:$F$10</c:f>
              <c:numCache>
                <c:formatCode>General</c:formatCode>
                <c:ptCount val="5"/>
                <c:pt idx="1">
                  <c:v>77</c:v>
                </c:pt>
                <c:pt idx="2">
                  <c:v>88.5</c:v>
                </c:pt>
                <c:pt idx="3">
                  <c:v>81.666666666666671</c:v>
                </c:pt>
                <c:pt idx="4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1B-46EF-A3EB-ADD74EC3D16D}"/>
            </c:ext>
          </c:extLst>
        </c:ser>
        <c:ser>
          <c:idx val="5"/>
          <c:order val="5"/>
          <c:tx>
            <c:strRef>
              <c:f>'Annual Performance'!$G$3:$G$4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Performance'!$G$5:$G$10</c:f>
              <c:numCache>
                <c:formatCode>General</c:formatCode>
                <c:ptCount val="5"/>
                <c:pt idx="1">
                  <c:v>83</c:v>
                </c:pt>
                <c:pt idx="2">
                  <c:v>89</c:v>
                </c:pt>
                <c:pt idx="3">
                  <c:v>84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1B-46EF-A3EB-ADD74EC3D16D}"/>
            </c:ext>
          </c:extLst>
        </c:ser>
        <c:ser>
          <c:idx val="6"/>
          <c:order val="6"/>
          <c:tx>
            <c:strRef>
              <c:f>'Annual Performance'!$H$3:$H$4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Performance'!$H$5:$H$10</c:f>
              <c:numCache>
                <c:formatCode>General</c:formatCode>
                <c:ptCount val="5"/>
                <c:pt idx="2">
                  <c:v>84.333333333333329</c:v>
                </c:pt>
                <c:pt idx="3">
                  <c:v>88</c:v>
                </c:pt>
                <c:pt idx="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1B-46EF-A3EB-ADD74EC3D16D}"/>
            </c:ext>
          </c:extLst>
        </c:ser>
        <c:ser>
          <c:idx val="7"/>
          <c:order val="7"/>
          <c:tx>
            <c:strRef>
              <c:f>'Annual Performance'!$I$3:$I$4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Performance'!$I$5:$I$10</c:f>
              <c:numCache>
                <c:formatCode>General</c:formatCode>
                <c:ptCount val="5"/>
                <c:pt idx="1">
                  <c:v>84.5</c:v>
                </c:pt>
                <c:pt idx="2">
                  <c:v>80</c:v>
                </c:pt>
                <c:pt idx="3">
                  <c:v>83</c:v>
                </c:pt>
                <c:pt idx="4">
                  <c:v>91.5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1B-46EF-A3EB-ADD74EC3D16D}"/>
            </c:ext>
          </c:extLst>
        </c:ser>
        <c:ser>
          <c:idx val="8"/>
          <c:order val="8"/>
          <c:tx>
            <c:strRef>
              <c:f>'Annual Performance'!$J$3:$J$4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Performance'!$J$5:$J$10</c:f>
              <c:numCache>
                <c:formatCode>General</c:formatCode>
                <c:ptCount val="5"/>
                <c:pt idx="0">
                  <c:v>86</c:v>
                </c:pt>
                <c:pt idx="1">
                  <c:v>84</c:v>
                </c:pt>
                <c:pt idx="2">
                  <c:v>75</c:v>
                </c:pt>
                <c:pt idx="3">
                  <c:v>82.75</c:v>
                </c:pt>
                <c:pt idx="4">
                  <c:v>82.666666666666671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B-46EF-A3EB-ADD74EC3D16D}"/>
            </c:ext>
          </c:extLst>
        </c:ser>
        <c:ser>
          <c:idx val="9"/>
          <c:order val="9"/>
          <c:tx>
            <c:strRef>
              <c:f>'Annual Performance'!$K$3:$K$4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Performance'!$K$5:$K$10</c:f>
              <c:numCache>
                <c:formatCode>General</c:formatCode>
                <c:ptCount val="5"/>
                <c:pt idx="0">
                  <c:v>84.6</c:v>
                </c:pt>
                <c:pt idx="2">
                  <c:v>81</c:v>
                </c:pt>
                <c:pt idx="3">
                  <c:v>83</c:v>
                </c:pt>
                <c:pt idx="4">
                  <c:v>79.5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B-46EF-A3EB-ADD74EC3D16D}"/>
            </c:ext>
          </c:extLst>
        </c:ser>
        <c:ser>
          <c:idx val="10"/>
          <c:order val="10"/>
          <c:tx>
            <c:strRef>
              <c:f>'Annual Performance'!$L$3:$L$4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Performance'!$L$5:$L$10</c:f>
              <c:numCache>
                <c:formatCode>General</c:formatCode>
                <c:ptCount val="5"/>
                <c:pt idx="0">
                  <c:v>85</c:v>
                </c:pt>
                <c:pt idx="1">
                  <c:v>91.5</c:v>
                </c:pt>
                <c:pt idx="3">
                  <c:v>81</c:v>
                </c:pt>
                <c:pt idx="4">
                  <c:v>91.666666666666671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1B-46EF-A3EB-ADD74EC3D16D}"/>
            </c:ext>
          </c:extLst>
        </c:ser>
        <c:ser>
          <c:idx val="11"/>
          <c:order val="11"/>
          <c:tx>
            <c:strRef>
              <c:f>'Annual Performance'!$M$3:$M$4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'Annual Performance'!$A$5:$A$10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Performance'!$M$5:$M$10</c:f>
              <c:numCache>
                <c:formatCode>General</c:formatCode>
                <c:ptCount val="5"/>
                <c:pt idx="0">
                  <c:v>73</c:v>
                </c:pt>
                <c:pt idx="1">
                  <c:v>73</c:v>
                </c:pt>
                <c:pt idx="2">
                  <c:v>79</c:v>
                </c:pt>
                <c:pt idx="3">
                  <c:v>92.5</c:v>
                </c:pt>
                <c:pt idx="4">
                  <c:v>76.5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1B-46EF-A3EB-ADD74EC3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465408"/>
        <c:axId val="413464424"/>
      </c:lineChart>
      <c:catAx>
        <c:axId val="41346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64424"/>
        <c:crosses val="autoZero"/>
        <c:auto val="1"/>
        <c:lblAlgn val="ctr"/>
        <c:lblOffset val="100"/>
        <c:noMultiLvlLbl val="0"/>
      </c:catAx>
      <c:valAx>
        <c:axId val="41346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6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[Employee_Performance_Data.xlsx]Annual Performance!PivotTable7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YEARLY AVERAGE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'Annual Performance'!$B$24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'Annual Performance'!$A$25:$A$30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Performance'!$B$25:$B$30</c:f>
              <c:numCache>
                <c:formatCode>General</c:formatCode>
                <c:ptCount val="5"/>
                <c:pt idx="0">
                  <c:v>83.736842105263165</c:v>
                </c:pt>
                <c:pt idx="1">
                  <c:v>84.5</c:v>
                </c:pt>
                <c:pt idx="2">
                  <c:v>81.958333333333329</c:v>
                </c:pt>
                <c:pt idx="3">
                  <c:v>84.09375</c:v>
                </c:pt>
                <c:pt idx="4">
                  <c:v>85.629629629629633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7-48AE-A7BA-319A86019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6872640"/>
        <c:axId val="496874280"/>
        <c:axId val="0"/>
      </c:bar3DChart>
      <c:catAx>
        <c:axId val="4968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74280"/>
        <c:crosses val="autoZero"/>
        <c:auto val="1"/>
        <c:lblAlgn val="ctr"/>
        <c:lblOffset val="100"/>
        <c:noMultiLvlLbl val="0"/>
      </c:catAx>
      <c:valAx>
        <c:axId val="4968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[Employee_Performance_Data.xlsx]Annual Performance!PivotTable9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'Annual Performance'!$B$39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FC1-4556-9B45-B7F064C5E982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FC1-4556-9B45-B7F064C5E98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FC1-4556-9B45-B7F064C5E982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FC1-4556-9B45-B7F064C5E982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FC1-4556-9B45-B7F064C5E98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'Annual Performance'!$A$40:$A$45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Performance'!$B$40:$B$45</c:f>
              <c:numCache>
                <c:formatCode>General</c:formatCode>
                <c:ptCount val="5"/>
                <c:pt idx="0">
                  <c:v>94354</c:v>
                </c:pt>
                <c:pt idx="1">
                  <c:v>93483</c:v>
                </c:pt>
                <c:pt idx="2">
                  <c:v>123241</c:v>
                </c:pt>
                <c:pt idx="3">
                  <c:v>165170</c:v>
                </c:pt>
                <c:pt idx="4">
                  <c:v>140077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F-4D7F-B033-C41DB0240B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1</xdr:row>
      <xdr:rowOff>9524</xdr:rowOff>
    </xdr:from>
    <xdr:to>
      <xdr:col>11</xdr:col>
      <xdr:colOff>57151</xdr:colOff>
      <xdr:row>15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9524</xdr:rowOff>
    </xdr:from>
    <xdr:to>
      <xdr:col>10</xdr:col>
      <xdr:colOff>257175</xdr:colOff>
      <xdr:row>15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595312</xdr:colOff>
      <xdr:row>2</xdr:row>
      <xdr:rowOff>47625</xdr:rowOff>
    </xdr:from>
    <xdr:to>
      <xdr:col>23</xdr:col>
      <xdr:colOff>28575</xdr:colOff>
      <xdr:row>21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523875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14286</xdr:colOff>
      <xdr:row>37</xdr:row>
      <xdr:rowOff>0</xdr:rowOff>
    </xdr:from>
    <xdr:to>
      <xdr:col>13</xdr:col>
      <xdr:colOff>552449</xdr:colOff>
      <xdr:row>50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31.535475578705" createdVersion="6" refreshedVersion="6" minRefreshableVersion="3" recordCount="122">
  <cacheSource type="worksheet">
    <worksheetSource name="Table1"/>
  </cacheSource>
  <cacheFields count="6">
    <cacheField name="Employee ID" numFmtId="0">
      <sharedItems containsBlank="1"/>
    </cacheField>
    <cacheField name="Name" numFmtId="0">
      <sharedItems containsBlank="1"/>
    </cacheField>
    <cacheField name="Department" numFmtId="0">
      <sharedItems containsBlank="1" count="6">
        <s v="HR"/>
        <s v="Marketing"/>
        <s v="IT"/>
        <s v="Sales"/>
        <s v="Finance"/>
        <m/>
      </sharedItems>
    </cacheField>
    <cacheField name="Month" numFmtId="0">
      <sharedItems count="14">
        <s v="Jan"/>
        <s v="Feb"/>
        <s v="Mar"/>
        <s v="Apr"/>
        <s v="May"/>
        <s v="Jun"/>
        <s v="Jul"/>
        <s v="Aug"/>
        <s v="Sep"/>
        <s v="Oct"/>
        <s v="Nov"/>
        <s v="Dec"/>
        <s v="TOTAL"/>
        <s v="AVG"/>
      </sharedItems>
    </cacheField>
    <cacheField name="Performance Score" numFmtId="0">
      <sharedItems containsSemiMixedTypes="0" containsString="0" containsNumber="1" minValue="70" maxValue="10082"/>
    </cacheField>
    <cacheField name="Bonus Earned" numFmtId="0">
      <sharedItems containsSemiMixedTypes="0" containsString="0" containsNumber="1" minValue="2800" maxValue="616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5931.563621180554" createdVersion="6" refreshedVersion="6" minRefreshableVersion="3" recordCount="123">
  <cacheSource type="worksheet">
    <worksheetSource ref="A1:F1048576" sheet="Performance Data"/>
  </cacheSource>
  <cacheFields count="6">
    <cacheField name="Employee ID" numFmtId="0">
      <sharedItems containsBlank="1"/>
    </cacheField>
    <cacheField name="Name" numFmtId="0">
      <sharedItems containsBlank="1"/>
    </cacheField>
    <cacheField name="Department" numFmtId="0">
      <sharedItems containsBlank="1" count="6">
        <s v="HR"/>
        <s v="Marketing"/>
        <s v="IT"/>
        <s v="Sales"/>
        <s v="Finance"/>
        <m/>
      </sharedItems>
    </cacheField>
    <cacheField name="Month" numFmtId="0">
      <sharedItems containsBlank="1" count="15">
        <s v="Jan"/>
        <s v="Feb"/>
        <s v="Mar"/>
        <s v="Apr"/>
        <s v="May"/>
        <s v="Jun"/>
        <s v="Jul"/>
        <s v="Aug"/>
        <s v="Sep"/>
        <s v="Oct"/>
        <s v="Nov"/>
        <s v="Dec"/>
        <s v="TOTAL"/>
        <s v="AVG"/>
        <m/>
      </sharedItems>
    </cacheField>
    <cacheField name="Performance Score" numFmtId="0">
      <sharedItems containsString="0" containsBlank="1" containsNumber="1" minValue="70" maxValue="10082"/>
    </cacheField>
    <cacheField name="Bonus Earned" numFmtId="0">
      <sharedItems containsString="0" containsBlank="1" containsNumber="1" minValue="2800" maxValue="616325" count="110">
        <n v="5644"/>
        <n v="3913"/>
        <n v="5920"/>
        <n v="6020"/>
        <n v="4250"/>
        <n v="4686"/>
        <n v="4836"/>
        <n v="5082"/>
        <n v="6468"/>
        <n v="6688"/>
        <n v="5248"/>
        <n v="2911"/>
        <n v="5684"/>
        <n v="3420"/>
        <n v="6314"/>
        <n v="5104"/>
        <n v="6400"/>
        <n v="7505"/>
        <n v="3780"/>
        <n v="3053"/>
        <n v="3773"/>
        <n v="2800"/>
        <n v="3456"/>
        <n v="5168"/>
        <n v="5292"/>
        <n v="3444"/>
        <n v="7800"/>
        <n v="6272"/>
        <n v="6664"/>
        <n v="4503"/>
        <n v="6956"/>
        <n v="4056"/>
        <n v="5850"/>
        <n v="5183"/>
        <n v="3927"/>
        <n v="5642"/>
        <n v="4361"/>
        <n v="7296"/>
        <n v="3360"/>
        <n v="6256"/>
        <n v="7663"/>
        <n v="6241"/>
        <n v="5395"/>
        <n v="5760"/>
        <n v="6300"/>
        <n v="3984"/>
        <n v="4788"/>
        <n v="5976"/>
        <n v="3450"/>
        <n v="4004"/>
        <n v="5390"/>
        <n v="6142"/>
        <n v="3400"/>
        <n v="4590"/>
        <n v="6000"/>
        <n v="4929"/>
        <n v="7584"/>
        <n v="4650"/>
        <n v="5376"/>
        <n v="6365"/>
        <n v="4880"/>
        <n v="7280"/>
        <n v="5925"/>
        <n v="5372"/>
        <n v="3320"/>
        <n v="4712"/>
        <n v="6298"/>
        <n v="5112"/>
        <n v="3528"/>
        <n v="5940"/>
        <n v="5328"/>
        <n v="3268"/>
        <n v="6440"/>
        <n v="6138"/>
        <n v="4697"/>
        <n v="4956"/>
        <n v="5538"/>
        <n v="5332"/>
        <n v="5734"/>
        <n v="3479"/>
        <n v="6528"/>
        <n v="3600"/>
        <n v="4644"/>
        <n v="4130"/>
        <n v="4018"/>
        <n v="3483"/>
        <n v="4234"/>
        <n v="6794"/>
        <n v="5146"/>
        <n v="4092"/>
        <n v="4600"/>
        <n v="4128"/>
        <n v="5950"/>
        <n v="6290"/>
        <n v="6532"/>
        <n v="3157"/>
        <n v="5220"/>
        <n v="5467"/>
        <n v="4899"/>
        <n v="4524"/>
        <n v="4428"/>
        <n v="3560"/>
        <n v="6432"/>
        <n v="3834"/>
        <n v="5775"/>
        <n v="4125"/>
        <n v="3285"/>
        <n v="616325"/>
        <n v="5136.04166666666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5931.569034259257" createdVersion="6" refreshedVersion="6" minRefreshableVersion="3" recordCount="120">
  <cacheSource type="worksheet">
    <worksheetSource ref="A1:F121" sheet="Performance Data"/>
  </cacheSource>
  <cacheFields count="6">
    <cacheField name="Employee ID" numFmtId="0">
      <sharedItems/>
    </cacheField>
    <cacheField name="Name" numFmtId="0">
      <sharedItems/>
    </cacheField>
    <cacheField name="Department" numFmtId="0">
      <sharedItems count="5">
        <s v="HR"/>
        <s v="Marketing"/>
        <s v="IT"/>
        <s v="Sales"/>
        <s v="Finance"/>
      </sharedItems>
    </cacheField>
    <cacheField name="Month" numFmtId="0">
      <sharedItems/>
    </cacheField>
    <cacheField name="Performance Score" numFmtId="0">
      <sharedItems containsSemiMixedTypes="0" containsString="0" containsNumber="1" containsInteger="1" minValue="70" maxValue="100"/>
    </cacheField>
    <cacheField name="Bonus Earned" numFmtId="0">
      <sharedItems containsSemiMixedTypes="0" containsString="0" containsNumber="1" containsInteger="1" minValue="2800" maxValue="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s v="E001"/>
    <s v="Ali Khan"/>
    <x v="0"/>
    <x v="0"/>
    <n v="83"/>
    <n v="5644"/>
  </r>
  <r>
    <s v="E002"/>
    <s v="Sara Ahmed"/>
    <x v="1"/>
    <x v="0"/>
    <n v="91"/>
    <n v="3913"/>
  </r>
  <r>
    <s v="E003"/>
    <s v="Imran Ali"/>
    <x v="2"/>
    <x v="0"/>
    <n v="74"/>
    <n v="5920"/>
  </r>
  <r>
    <s v="E004"/>
    <s v="Mehak Mazhar"/>
    <x v="3"/>
    <x v="0"/>
    <n v="86"/>
    <n v="6020"/>
  </r>
  <r>
    <s v="E005"/>
    <s v="Ahmed Raza"/>
    <x v="4"/>
    <x v="0"/>
    <n v="85"/>
    <n v="4250"/>
  </r>
  <r>
    <s v="E006"/>
    <s v="Hina Tariq"/>
    <x v="2"/>
    <x v="0"/>
    <n v="71"/>
    <n v="4686"/>
  </r>
  <r>
    <s v="E007"/>
    <s v="Bilal Hussain"/>
    <x v="0"/>
    <x v="0"/>
    <n v="78"/>
    <n v="4836"/>
  </r>
  <r>
    <s v="E008"/>
    <s v="Sana Qureshi"/>
    <x v="1"/>
    <x v="0"/>
    <n v="77"/>
    <n v="5082"/>
  </r>
  <r>
    <s v="E009"/>
    <s v="Usman Akhtar"/>
    <x v="1"/>
    <x v="0"/>
    <n v="98"/>
    <n v="6468"/>
  </r>
  <r>
    <s v="E010"/>
    <s v="Ayesha Noor"/>
    <x v="0"/>
    <x v="0"/>
    <n v="88"/>
    <n v="6688"/>
  </r>
  <r>
    <s v="E001"/>
    <s v="Ali Khan"/>
    <x v="1"/>
    <x v="1"/>
    <n v="82"/>
    <n v="5248"/>
  </r>
  <r>
    <s v="E002"/>
    <s v="Sara Ahmed"/>
    <x v="1"/>
    <x v="1"/>
    <n v="71"/>
    <n v="2911"/>
  </r>
  <r>
    <s v="E003"/>
    <s v="Imran Ali"/>
    <x v="4"/>
    <x v="1"/>
    <n v="98"/>
    <n v="5684"/>
  </r>
  <r>
    <s v="E004"/>
    <s v="Mehak Mazhar"/>
    <x v="1"/>
    <x v="1"/>
    <n v="76"/>
    <n v="3420"/>
  </r>
  <r>
    <s v="E005"/>
    <s v="Ahmed Raza"/>
    <x v="2"/>
    <x v="1"/>
    <n v="82"/>
    <n v="6314"/>
  </r>
  <r>
    <s v="E006"/>
    <s v="Hina Tariq"/>
    <x v="3"/>
    <x v="1"/>
    <n v="88"/>
    <n v="5104"/>
  </r>
  <r>
    <s v="E007"/>
    <s v="Bilal Hussain"/>
    <x v="4"/>
    <x v="1"/>
    <n v="80"/>
    <n v="6400"/>
  </r>
  <r>
    <s v="E008"/>
    <s v="Sana Qureshi"/>
    <x v="1"/>
    <x v="1"/>
    <n v="95"/>
    <n v="7505"/>
  </r>
  <r>
    <s v="E009"/>
    <s v="Usman Akhtar"/>
    <x v="0"/>
    <x v="1"/>
    <n v="70"/>
    <n v="3780"/>
  </r>
  <r>
    <s v="E010"/>
    <s v="Ayesha Noor"/>
    <x v="0"/>
    <x v="1"/>
    <n v="71"/>
    <n v="3053"/>
  </r>
  <r>
    <s v="E001"/>
    <s v="Ali Khan"/>
    <x v="1"/>
    <x v="2"/>
    <n v="77"/>
    <n v="3773"/>
  </r>
  <r>
    <s v="E002"/>
    <s v="Sara Ahmed"/>
    <x v="4"/>
    <x v="2"/>
    <n v="70"/>
    <n v="2800"/>
  </r>
  <r>
    <s v="E003"/>
    <s v="Imran Ali"/>
    <x v="2"/>
    <x v="2"/>
    <n v="72"/>
    <n v="3456"/>
  </r>
  <r>
    <s v="E004"/>
    <s v="Mehak Mazhar"/>
    <x v="4"/>
    <x v="2"/>
    <n v="76"/>
    <n v="5168"/>
  </r>
  <r>
    <s v="E005"/>
    <s v="Ahmed Raza"/>
    <x v="0"/>
    <x v="2"/>
    <n v="98"/>
    <n v="5292"/>
  </r>
  <r>
    <s v="E006"/>
    <s v="Hina Tariq"/>
    <x v="4"/>
    <x v="2"/>
    <n v="82"/>
    <n v="3444"/>
  </r>
  <r>
    <s v="E007"/>
    <s v="Bilal Hussain"/>
    <x v="0"/>
    <x v="2"/>
    <n v="100"/>
    <n v="7800"/>
  </r>
  <r>
    <s v="E008"/>
    <s v="Sana Qureshi"/>
    <x v="4"/>
    <x v="2"/>
    <n v="98"/>
    <n v="6272"/>
  </r>
  <r>
    <s v="E009"/>
    <s v="Usman Akhtar"/>
    <x v="3"/>
    <x v="2"/>
    <n v="98"/>
    <n v="6664"/>
  </r>
  <r>
    <s v="E010"/>
    <s v="Ayesha Noor"/>
    <x v="0"/>
    <x v="2"/>
    <n v="79"/>
    <n v="4503"/>
  </r>
  <r>
    <s v="E001"/>
    <s v="Ali Khan"/>
    <x v="1"/>
    <x v="3"/>
    <n v="94"/>
    <n v="6956"/>
  </r>
  <r>
    <s v="E002"/>
    <s v="Sara Ahmed"/>
    <x v="2"/>
    <x v="3"/>
    <n v="78"/>
    <n v="4056"/>
  </r>
  <r>
    <s v="E003"/>
    <s v="Imran Ali"/>
    <x v="3"/>
    <x v="3"/>
    <n v="78"/>
    <n v="5850"/>
  </r>
  <r>
    <s v="E004"/>
    <s v="Mehak Mazhar"/>
    <x v="1"/>
    <x v="3"/>
    <n v="71"/>
    <n v="5183"/>
  </r>
  <r>
    <s v="E005"/>
    <s v="Ahmed Raza"/>
    <x v="3"/>
    <x v="3"/>
    <n v="77"/>
    <n v="3927"/>
  </r>
  <r>
    <s v="E006"/>
    <s v="Hina Tariq"/>
    <x v="2"/>
    <x v="3"/>
    <n v="91"/>
    <n v="5642"/>
  </r>
  <r>
    <s v="E007"/>
    <s v="Bilal Hussain"/>
    <x v="0"/>
    <x v="3"/>
    <n v="89"/>
    <n v="4361"/>
  </r>
  <r>
    <s v="E008"/>
    <s v="Sana Qureshi"/>
    <x v="0"/>
    <x v="3"/>
    <n v="96"/>
    <n v="7296"/>
  </r>
  <r>
    <s v="E009"/>
    <s v="Usman Akhtar"/>
    <x v="3"/>
    <x v="3"/>
    <n v="80"/>
    <n v="3360"/>
  </r>
  <r>
    <s v="E010"/>
    <s v="Ayesha Noor"/>
    <x v="4"/>
    <x v="3"/>
    <n v="92"/>
    <n v="6256"/>
  </r>
  <r>
    <s v="E001"/>
    <s v="Ali Khan"/>
    <x v="3"/>
    <x v="4"/>
    <n v="97"/>
    <n v="7663"/>
  </r>
  <r>
    <s v="E002"/>
    <s v="Sara Ahmed"/>
    <x v="0"/>
    <x v="4"/>
    <n v="77"/>
    <n v="3927"/>
  </r>
  <r>
    <s v="E003"/>
    <s v="Imran Ali"/>
    <x v="1"/>
    <x v="4"/>
    <n v="79"/>
    <n v="6241"/>
  </r>
  <r>
    <s v="E004"/>
    <s v="Mehak Mazhar"/>
    <x v="1"/>
    <x v="4"/>
    <n v="83"/>
    <n v="5395"/>
  </r>
  <r>
    <s v="E005"/>
    <s v="Ahmed Raza"/>
    <x v="2"/>
    <x v="4"/>
    <n v="97"/>
    <n v="7663"/>
  </r>
  <r>
    <s v="E006"/>
    <s v="Hina Tariq"/>
    <x v="2"/>
    <x v="4"/>
    <n v="80"/>
    <n v="5760"/>
  </r>
  <r>
    <s v="E007"/>
    <s v="Bilal Hussain"/>
    <x v="3"/>
    <x v="4"/>
    <n v="90"/>
    <n v="6300"/>
  </r>
  <r>
    <s v="E008"/>
    <s v="Sana Qureshi"/>
    <x v="1"/>
    <x v="4"/>
    <n v="83"/>
    <n v="3984"/>
  </r>
  <r>
    <s v="E009"/>
    <s v="Usman Akhtar"/>
    <x v="3"/>
    <x v="4"/>
    <n v="84"/>
    <n v="4788"/>
  </r>
  <r>
    <s v="E010"/>
    <s v="Ayesha Noor"/>
    <x v="3"/>
    <x v="4"/>
    <n v="83"/>
    <n v="5976"/>
  </r>
  <r>
    <s v="E001"/>
    <s v="Ali Khan"/>
    <x v="1"/>
    <x v="5"/>
    <n v="90"/>
    <n v="5760"/>
  </r>
  <r>
    <s v="E002"/>
    <s v="Sara Ahmed"/>
    <x v="2"/>
    <x v="5"/>
    <n v="75"/>
    <n v="3450"/>
  </r>
  <r>
    <s v="E003"/>
    <s v="Imran Ali"/>
    <x v="3"/>
    <x v="5"/>
    <n v="91"/>
    <n v="4004"/>
  </r>
  <r>
    <s v="E004"/>
    <s v="Mehak Mazhar"/>
    <x v="1"/>
    <x v="5"/>
    <n v="77"/>
    <n v="5390"/>
  </r>
  <r>
    <s v="E005"/>
    <s v="Ahmed Raza"/>
    <x v="0"/>
    <x v="5"/>
    <n v="83"/>
    <n v="6142"/>
  </r>
  <r>
    <s v="E006"/>
    <s v="Hina Tariq"/>
    <x v="2"/>
    <x v="5"/>
    <n v="85"/>
    <n v="3400"/>
  </r>
  <r>
    <s v="E007"/>
    <s v="Bilal Hussain"/>
    <x v="1"/>
    <x v="5"/>
    <n v="85"/>
    <n v="4590"/>
  </r>
  <r>
    <s v="E008"/>
    <s v="Sana Qureshi"/>
    <x v="2"/>
    <x v="5"/>
    <n v="100"/>
    <n v="6000"/>
  </r>
  <r>
    <s v="E009"/>
    <s v="Usman Akhtar"/>
    <x v="3"/>
    <x v="5"/>
    <n v="93"/>
    <n v="4929"/>
  </r>
  <r>
    <s v="E010"/>
    <s v="Ayesha Noor"/>
    <x v="2"/>
    <x v="5"/>
    <n v="96"/>
    <n v="7584"/>
  </r>
  <r>
    <s v="E001"/>
    <s v="Ali Khan"/>
    <x v="1"/>
    <x v="6"/>
    <n v="93"/>
    <n v="4650"/>
  </r>
  <r>
    <s v="E002"/>
    <s v="Sara Ahmed"/>
    <x v="1"/>
    <x v="6"/>
    <n v="84"/>
    <n v="5376"/>
  </r>
  <r>
    <s v="E003"/>
    <s v="Imran Ali"/>
    <x v="1"/>
    <x v="6"/>
    <n v="95"/>
    <n v="6365"/>
  </r>
  <r>
    <s v="E004"/>
    <s v="Mehak Mazhar"/>
    <x v="1"/>
    <x v="6"/>
    <n v="80"/>
    <n v="4880"/>
  </r>
  <r>
    <s v="E005"/>
    <s v="Ahmed Raza"/>
    <x v="2"/>
    <x v="6"/>
    <n v="91"/>
    <n v="7280"/>
  </r>
  <r>
    <s v="E006"/>
    <s v="Hina Tariq"/>
    <x v="3"/>
    <x v="6"/>
    <n v="79"/>
    <n v="5925"/>
  </r>
  <r>
    <s v="E007"/>
    <s v="Bilal Hussain"/>
    <x v="2"/>
    <x v="6"/>
    <n v="79"/>
    <n v="5372"/>
  </r>
  <r>
    <s v="E008"/>
    <s v="Sana Qureshi"/>
    <x v="2"/>
    <x v="6"/>
    <n v="83"/>
    <n v="3320"/>
  </r>
  <r>
    <s v="E009"/>
    <s v="Usman Akhtar"/>
    <x v="3"/>
    <x v="6"/>
    <n v="76"/>
    <n v="4712"/>
  </r>
  <r>
    <s v="E010"/>
    <s v="Ayesha Noor"/>
    <x v="3"/>
    <x v="6"/>
    <n v="94"/>
    <n v="6298"/>
  </r>
  <r>
    <s v="E001"/>
    <s v="Ali Khan"/>
    <x v="1"/>
    <x v="7"/>
    <n v="74"/>
    <n v="5920"/>
  </r>
  <r>
    <s v="E002"/>
    <s v="Sara Ahmed"/>
    <x v="0"/>
    <x v="7"/>
    <n v="98"/>
    <n v="6272"/>
  </r>
  <r>
    <s v="E003"/>
    <s v="Imran Ali"/>
    <x v="0"/>
    <x v="7"/>
    <n v="71"/>
    <n v="5112"/>
  </r>
  <r>
    <s v="E004"/>
    <s v="Mehak Mazhar"/>
    <x v="3"/>
    <x v="7"/>
    <n v="84"/>
    <n v="3528"/>
  </r>
  <r>
    <s v="E005"/>
    <s v="Ahmed Raza"/>
    <x v="3"/>
    <x v="7"/>
    <n v="99"/>
    <n v="5940"/>
  </r>
  <r>
    <s v="E006"/>
    <s v="Hina Tariq"/>
    <x v="2"/>
    <x v="7"/>
    <n v="74"/>
    <n v="5328"/>
  </r>
  <r>
    <s v="E007"/>
    <s v="Bilal Hussain"/>
    <x v="2"/>
    <x v="7"/>
    <n v="76"/>
    <n v="3268"/>
  </r>
  <r>
    <s v="E008"/>
    <s v="Sana Qureshi"/>
    <x v="1"/>
    <x v="7"/>
    <n v="92"/>
    <n v="6440"/>
  </r>
  <r>
    <s v="E009"/>
    <s v="Usman Akhtar"/>
    <x v="2"/>
    <x v="7"/>
    <n v="93"/>
    <n v="6138"/>
  </r>
  <r>
    <s v="E010"/>
    <s v="Ayesha Noor"/>
    <x v="2"/>
    <x v="7"/>
    <n v="77"/>
    <n v="4697"/>
  </r>
  <r>
    <s v="E001"/>
    <s v="Ali Khan"/>
    <x v="3"/>
    <x v="8"/>
    <n v="83"/>
    <n v="5976"/>
  </r>
  <r>
    <s v="E002"/>
    <s v="Sara Ahmed"/>
    <x v="1"/>
    <x v="8"/>
    <n v="99"/>
    <n v="6138"/>
  </r>
  <r>
    <s v="E003"/>
    <s v="Imran Ali"/>
    <x v="1"/>
    <x v="8"/>
    <n v="84"/>
    <n v="4956"/>
  </r>
  <r>
    <s v="E004"/>
    <s v="Mehak Mazhar"/>
    <x v="0"/>
    <x v="8"/>
    <n v="84"/>
    <n v="4956"/>
  </r>
  <r>
    <s v="E005"/>
    <s v="Ahmed Raza"/>
    <x v="3"/>
    <x v="8"/>
    <n v="71"/>
    <n v="5538"/>
  </r>
  <r>
    <s v="E006"/>
    <s v="Hina Tariq"/>
    <x v="4"/>
    <x v="8"/>
    <n v="86"/>
    <n v="5332"/>
  </r>
  <r>
    <s v="E007"/>
    <s v="Bilal Hussain"/>
    <x v="1"/>
    <x v="8"/>
    <n v="77"/>
    <n v="5390"/>
  </r>
  <r>
    <s v="E008"/>
    <s v="Sana Qureshi"/>
    <x v="3"/>
    <x v="8"/>
    <n v="94"/>
    <n v="5734"/>
  </r>
  <r>
    <s v="E009"/>
    <s v="Usman Akhtar"/>
    <x v="2"/>
    <x v="8"/>
    <n v="75"/>
    <n v="6000"/>
  </r>
  <r>
    <s v="E010"/>
    <s v="Ayesha Noor"/>
    <x v="1"/>
    <x v="8"/>
    <n v="71"/>
    <n v="3479"/>
  </r>
  <r>
    <s v="E001"/>
    <s v="Ali Khan"/>
    <x v="1"/>
    <x v="9"/>
    <n v="96"/>
    <n v="6528"/>
  </r>
  <r>
    <s v="E002"/>
    <s v="Sara Ahmed"/>
    <x v="4"/>
    <x v="9"/>
    <n v="80"/>
    <n v="3600"/>
  </r>
  <r>
    <s v="E003"/>
    <s v="Imran Ali"/>
    <x v="4"/>
    <x v="9"/>
    <n v="86"/>
    <n v="4644"/>
  </r>
  <r>
    <s v="E004"/>
    <s v="Mehak Mazhar"/>
    <x v="1"/>
    <x v="9"/>
    <n v="70"/>
    <n v="4130"/>
  </r>
  <r>
    <s v="E005"/>
    <s v="Ahmed Raza"/>
    <x v="3"/>
    <x v="9"/>
    <n v="76"/>
    <n v="3420"/>
  </r>
  <r>
    <s v="E006"/>
    <s v="Hina Tariq"/>
    <x v="4"/>
    <x v="9"/>
    <n v="98"/>
    <n v="4018"/>
  </r>
  <r>
    <s v="E007"/>
    <s v="Bilal Hussain"/>
    <x v="2"/>
    <x v="9"/>
    <n v="81"/>
    <n v="3483"/>
  </r>
  <r>
    <s v="E008"/>
    <s v="Sana Qureshi"/>
    <x v="4"/>
    <x v="9"/>
    <n v="73"/>
    <n v="4234"/>
  </r>
  <r>
    <s v="E009"/>
    <s v="Usman Akhtar"/>
    <x v="4"/>
    <x v="9"/>
    <n v="86"/>
    <n v="6794"/>
  </r>
  <r>
    <s v="E010"/>
    <s v="Ayesha Noor"/>
    <x v="3"/>
    <x v="9"/>
    <n v="83"/>
    <n v="5146"/>
  </r>
  <r>
    <s v="E001"/>
    <s v="Ali Khan"/>
    <x v="4"/>
    <x v="10"/>
    <n v="93"/>
    <n v="4092"/>
  </r>
  <r>
    <s v="E002"/>
    <s v="Sara Ahmed"/>
    <x v="3"/>
    <x v="10"/>
    <n v="92"/>
    <n v="4600"/>
  </r>
  <r>
    <s v="E003"/>
    <s v="Imran Ali"/>
    <x v="3"/>
    <x v="10"/>
    <n v="96"/>
    <n v="4128"/>
  </r>
  <r>
    <s v="E004"/>
    <s v="Mehak Mazhar"/>
    <x v="1"/>
    <x v="10"/>
    <n v="85"/>
    <n v="5950"/>
  </r>
  <r>
    <s v="E005"/>
    <s v="Ahmed Raza"/>
    <x v="0"/>
    <x v="10"/>
    <n v="91"/>
    <n v="4004"/>
  </r>
  <r>
    <s v="E006"/>
    <s v="Hina Tariq"/>
    <x v="4"/>
    <x v="10"/>
    <n v="85"/>
    <n v="6290"/>
  </r>
  <r>
    <s v="E007"/>
    <s v="Bilal Hussain"/>
    <x v="0"/>
    <x v="10"/>
    <n v="92"/>
    <n v="6532"/>
  </r>
  <r>
    <s v="E008"/>
    <s v="Sana Qureshi"/>
    <x v="1"/>
    <x v="10"/>
    <n v="77"/>
    <n v="3157"/>
  </r>
  <r>
    <s v="E009"/>
    <s v="Usman Akhtar"/>
    <x v="3"/>
    <x v="10"/>
    <n v="87"/>
    <n v="5220"/>
  </r>
  <r>
    <s v="E010"/>
    <s v="Ayesha Noor"/>
    <x v="4"/>
    <x v="10"/>
    <n v="77"/>
    <n v="5467"/>
  </r>
  <r>
    <s v="E001"/>
    <s v="Ali Khan"/>
    <x v="3"/>
    <x v="11"/>
    <n v="71"/>
    <n v="4899"/>
  </r>
  <r>
    <s v="E002"/>
    <s v="Sara Ahmed"/>
    <x v="2"/>
    <x v="11"/>
    <n v="87"/>
    <n v="4524"/>
  </r>
  <r>
    <s v="E003"/>
    <s v="Imran Ali"/>
    <x v="3"/>
    <x v="11"/>
    <n v="82"/>
    <n v="4428"/>
  </r>
  <r>
    <s v="E004"/>
    <s v="Mehak Mazhar"/>
    <x v="1"/>
    <x v="11"/>
    <n v="89"/>
    <n v="3560"/>
  </r>
  <r>
    <s v="E005"/>
    <s v="Ahmed Raza"/>
    <x v="1"/>
    <x v="11"/>
    <n v="96"/>
    <n v="6432"/>
  </r>
  <r>
    <s v="E006"/>
    <s v="Hina Tariq"/>
    <x v="4"/>
    <x v="11"/>
    <n v="71"/>
    <n v="3834"/>
  </r>
  <r>
    <s v="E007"/>
    <s v="Bilal Hussain"/>
    <x v="2"/>
    <x v="11"/>
    <n v="75"/>
    <n v="5775"/>
  </r>
  <r>
    <s v="E008"/>
    <s v="Sana Qureshi"/>
    <x v="2"/>
    <x v="11"/>
    <n v="75"/>
    <n v="4125"/>
  </r>
  <r>
    <s v="E009"/>
    <s v="Usman Akhtar"/>
    <x v="4"/>
    <x v="11"/>
    <n v="75"/>
    <n v="5775"/>
  </r>
  <r>
    <s v="E010"/>
    <s v="Ayesha Noor"/>
    <x v="0"/>
    <x v="11"/>
    <n v="73"/>
    <n v="3285"/>
  </r>
  <r>
    <m/>
    <m/>
    <x v="5"/>
    <x v="12"/>
    <n v="10082"/>
    <n v="616325"/>
  </r>
  <r>
    <m/>
    <m/>
    <x v="5"/>
    <x v="13"/>
    <n v="84.016666666666666"/>
    <n v="5136.0416666666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">
  <r>
    <s v="E001"/>
    <s v="Ali Khan"/>
    <x v="0"/>
    <x v="0"/>
    <n v="83"/>
    <x v="0"/>
  </r>
  <r>
    <s v="E002"/>
    <s v="Sara Ahmed"/>
    <x v="1"/>
    <x v="0"/>
    <n v="91"/>
    <x v="1"/>
  </r>
  <r>
    <s v="E003"/>
    <s v="Imran Ali"/>
    <x v="2"/>
    <x v="0"/>
    <n v="74"/>
    <x v="2"/>
  </r>
  <r>
    <s v="E004"/>
    <s v="Mehak Mazhar"/>
    <x v="3"/>
    <x v="0"/>
    <n v="86"/>
    <x v="3"/>
  </r>
  <r>
    <s v="E005"/>
    <s v="Ahmed Raza"/>
    <x v="4"/>
    <x v="0"/>
    <n v="85"/>
    <x v="4"/>
  </r>
  <r>
    <s v="E006"/>
    <s v="Hina Tariq"/>
    <x v="2"/>
    <x v="0"/>
    <n v="71"/>
    <x v="5"/>
  </r>
  <r>
    <s v="E007"/>
    <s v="Bilal Hussain"/>
    <x v="0"/>
    <x v="0"/>
    <n v="78"/>
    <x v="6"/>
  </r>
  <r>
    <s v="E008"/>
    <s v="Sana Qureshi"/>
    <x v="1"/>
    <x v="0"/>
    <n v="77"/>
    <x v="7"/>
  </r>
  <r>
    <s v="E009"/>
    <s v="Usman Akhtar"/>
    <x v="1"/>
    <x v="0"/>
    <n v="98"/>
    <x v="8"/>
  </r>
  <r>
    <s v="E010"/>
    <s v="Ayesha Noor"/>
    <x v="0"/>
    <x v="0"/>
    <n v="88"/>
    <x v="9"/>
  </r>
  <r>
    <s v="E001"/>
    <s v="Ali Khan"/>
    <x v="1"/>
    <x v="1"/>
    <n v="82"/>
    <x v="10"/>
  </r>
  <r>
    <s v="E002"/>
    <s v="Sara Ahmed"/>
    <x v="1"/>
    <x v="1"/>
    <n v="71"/>
    <x v="11"/>
  </r>
  <r>
    <s v="E003"/>
    <s v="Imran Ali"/>
    <x v="4"/>
    <x v="1"/>
    <n v="98"/>
    <x v="12"/>
  </r>
  <r>
    <s v="E004"/>
    <s v="Mehak Mazhar"/>
    <x v="1"/>
    <x v="1"/>
    <n v="76"/>
    <x v="13"/>
  </r>
  <r>
    <s v="E005"/>
    <s v="Ahmed Raza"/>
    <x v="2"/>
    <x v="1"/>
    <n v="82"/>
    <x v="14"/>
  </r>
  <r>
    <s v="E006"/>
    <s v="Hina Tariq"/>
    <x v="3"/>
    <x v="1"/>
    <n v="88"/>
    <x v="15"/>
  </r>
  <r>
    <s v="E007"/>
    <s v="Bilal Hussain"/>
    <x v="4"/>
    <x v="1"/>
    <n v="80"/>
    <x v="16"/>
  </r>
  <r>
    <s v="E008"/>
    <s v="Sana Qureshi"/>
    <x v="1"/>
    <x v="1"/>
    <n v="95"/>
    <x v="17"/>
  </r>
  <r>
    <s v="E009"/>
    <s v="Usman Akhtar"/>
    <x v="0"/>
    <x v="1"/>
    <n v="70"/>
    <x v="18"/>
  </r>
  <r>
    <s v="E010"/>
    <s v="Ayesha Noor"/>
    <x v="0"/>
    <x v="1"/>
    <n v="71"/>
    <x v="19"/>
  </r>
  <r>
    <s v="E001"/>
    <s v="Ali Khan"/>
    <x v="1"/>
    <x v="2"/>
    <n v="77"/>
    <x v="20"/>
  </r>
  <r>
    <s v="E002"/>
    <s v="Sara Ahmed"/>
    <x v="4"/>
    <x v="2"/>
    <n v="70"/>
    <x v="21"/>
  </r>
  <r>
    <s v="E003"/>
    <s v="Imran Ali"/>
    <x v="2"/>
    <x v="2"/>
    <n v="72"/>
    <x v="22"/>
  </r>
  <r>
    <s v="E004"/>
    <s v="Mehak Mazhar"/>
    <x v="4"/>
    <x v="2"/>
    <n v="76"/>
    <x v="23"/>
  </r>
  <r>
    <s v="E005"/>
    <s v="Ahmed Raza"/>
    <x v="0"/>
    <x v="2"/>
    <n v="98"/>
    <x v="24"/>
  </r>
  <r>
    <s v="E006"/>
    <s v="Hina Tariq"/>
    <x v="4"/>
    <x v="2"/>
    <n v="82"/>
    <x v="25"/>
  </r>
  <r>
    <s v="E007"/>
    <s v="Bilal Hussain"/>
    <x v="0"/>
    <x v="2"/>
    <n v="100"/>
    <x v="26"/>
  </r>
  <r>
    <s v="E008"/>
    <s v="Sana Qureshi"/>
    <x v="4"/>
    <x v="2"/>
    <n v="98"/>
    <x v="27"/>
  </r>
  <r>
    <s v="E009"/>
    <s v="Usman Akhtar"/>
    <x v="3"/>
    <x v="2"/>
    <n v="98"/>
    <x v="28"/>
  </r>
  <r>
    <s v="E010"/>
    <s v="Ayesha Noor"/>
    <x v="0"/>
    <x v="2"/>
    <n v="79"/>
    <x v="29"/>
  </r>
  <r>
    <s v="E001"/>
    <s v="Ali Khan"/>
    <x v="1"/>
    <x v="3"/>
    <n v="94"/>
    <x v="30"/>
  </r>
  <r>
    <s v="E002"/>
    <s v="Sara Ahmed"/>
    <x v="2"/>
    <x v="3"/>
    <n v="78"/>
    <x v="31"/>
  </r>
  <r>
    <s v="E003"/>
    <s v="Imran Ali"/>
    <x v="3"/>
    <x v="3"/>
    <n v="78"/>
    <x v="32"/>
  </r>
  <r>
    <s v="E004"/>
    <s v="Mehak Mazhar"/>
    <x v="1"/>
    <x v="3"/>
    <n v="71"/>
    <x v="33"/>
  </r>
  <r>
    <s v="E005"/>
    <s v="Ahmed Raza"/>
    <x v="3"/>
    <x v="3"/>
    <n v="77"/>
    <x v="34"/>
  </r>
  <r>
    <s v="E006"/>
    <s v="Hina Tariq"/>
    <x v="2"/>
    <x v="3"/>
    <n v="91"/>
    <x v="35"/>
  </r>
  <r>
    <s v="E007"/>
    <s v="Bilal Hussain"/>
    <x v="0"/>
    <x v="3"/>
    <n v="89"/>
    <x v="36"/>
  </r>
  <r>
    <s v="E008"/>
    <s v="Sana Qureshi"/>
    <x v="0"/>
    <x v="3"/>
    <n v="96"/>
    <x v="37"/>
  </r>
  <r>
    <s v="E009"/>
    <s v="Usman Akhtar"/>
    <x v="3"/>
    <x v="3"/>
    <n v="80"/>
    <x v="38"/>
  </r>
  <r>
    <s v="E010"/>
    <s v="Ayesha Noor"/>
    <x v="4"/>
    <x v="3"/>
    <n v="92"/>
    <x v="39"/>
  </r>
  <r>
    <s v="E001"/>
    <s v="Ali Khan"/>
    <x v="3"/>
    <x v="4"/>
    <n v="97"/>
    <x v="40"/>
  </r>
  <r>
    <s v="E002"/>
    <s v="Sara Ahmed"/>
    <x v="0"/>
    <x v="4"/>
    <n v="77"/>
    <x v="34"/>
  </r>
  <r>
    <s v="E003"/>
    <s v="Imran Ali"/>
    <x v="1"/>
    <x v="4"/>
    <n v="79"/>
    <x v="41"/>
  </r>
  <r>
    <s v="E004"/>
    <s v="Mehak Mazhar"/>
    <x v="1"/>
    <x v="4"/>
    <n v="83"/>
    <x v="42"/>
  </r>
  <r>
    <s v="E005"/>
    <s v="Ahmed Raza"/>
    <x v="2"/>
    <x v="4"/>
    <n v="97"/>
    <x v="40"/>
  </r>
  <r>
    <s v="E006"/>
    <s v="Hina Tariq"/>
    <x v="2"/>
    <x v="4"/>
    <n v="80"/>
    <x v="43"/>
  </r>
  <r>
    <s v="E007"/>
    <s v="Bilal Hussain"/>
    <x v="3"/>
    <x v="4"/>
    <n v="90"/>
    <x v="44"/>
  </r>
  <r>
    <s v="E008"/>
    <s v="Sana Qureshi"/>
    <x v="1"/>
    <x v="4"/>
    <n v="83"/>
    <x v="45"/>
  </r>
  <r>
    <s v="E009"/>
    <s v="Usman Akhtar"/>
    <x v="3"/>
    <x v="4"/>
    <n v="84"/>
    <x v="46"/>
  </r>
  <r>
    <s v="E010"/>
    <s v="Ayesha Noor"/>
    <x v="3"/>
    <x v="4"/>
    <n v="83"/>
    <x v="47"/>
  </r>
  <r>
    <s v="E001"/>
    <s v="Ali Khan"/>
    <x v="1"/>
    <x v="5"/>
    <n v="90"/>
    <x v="43"/>
  </r>
  <r>
    <s v="E002"/>
    <s v="Sara Ahmed"/>
    <x v="2"/>
    <x v="5"/>
    <n v="75"/>
    <x v="48"/>
  </r>
  <r>
    <s v="E003"/>
    <s v="Imran Ali"/>
    <x v="3"/>
    <x v="5"/>
    <n v="91"/>
    <x v="49"/>
  </r>
  <r>
    <s v="E004"/>
    <s v="Mehak Mazhar"/>
    <x v="1"/>
    <x v="5"/>
    <n v="77"/>
    <x v="50"/>
  </r>
  <r>
    <s v="E005"/>
    <s v="Ahmed Raza"/>
    <x v="0"/>
    <x v="5"/>
    <n v="83"/>
    <x v="51"/>
  </r>
  <r>
    <s v="E006"/>
    <s v="Hina Tariq"/>
    <x v="2"/>
    <x v="5"/>
    <n v="85"/>
    <x v="52"/>
  </r>
  <r>
    <s v="E007"/>
    <s v="Bilal Hussain"/>
    <x v="1"/>
    <x v="5"/>
    <n v="85"/>
    <x v="53"/>
  </r>
  <r>
    <s v="E008"/>
    <s v="Sana Qureshi"/>
    <x v="2"/>
    <x v="5"/>
    <n v="100"/>
    <x v="54"/>
  </r>
  <r>
    <s v="E009"/>
    <s v="Usman Akhtar"/>
    <x v="3"/>
    <x v="5"/>
    <n v="93"/>
    <x v="55"/>
  </r>
  <r>
    <s v="E010"/>
    <s v="Ayesha Noor"/>
    <x v="2"/>
    <x v="5"/>
    <n v="96"/>
    <x v="56"/>
  </r>
  <r>
    <s v="E001"/>
    <s v="Ali Khan"/>
    <x v="1"/>
    <x v="6"/>
    <n v="93"/>
    <x v="57"/>
  </r>
  <r>
    <s v="E002"/>
    <s v="Sara Ahmed"/>
    <x v="1"/>
    <x v="6"/>
    <n v="84"/>
    <x v="58"/>
  </r>
  <r>
    <s v="E003"/>
    <s v="Imran Ali"/>
    <x v="1"/>
    <x v="6"/>
    <n v="95"/>
    <x v="59"/>
  </r>
  <r>
    <s v="E004"/>
    <s v="Mehak Mazhar"/>
    <x v="1"/>
    <x v="6"/>
    <n v="80"/>
    <x v="60"/>
  </r>
  <r>
    <s v="E005"/>
    <s v="Ahmed Raza"/>
    <x v="2"/>
    <x v="6"/>
    <n v="91"/>
    <x v="61"/>
  </r>
  <r>
    <s v="E006"/>
    <s v="Hina Tariq"/>
    <x v="3"/>
    <x v="6"/>
    <n v="79"/>
    <x v="62"/>
  </r>
  <r>
    <s v="E007"/>
    <s v="Bilal Hussain"/>
    <x v="2"/>
    <x v="6"/>
    <n v="79"/>
    <x v="63"/>
  </r>
  <r>
    <s v="E008"/>
    <s v="Sana Qureshi"/>
    <x v="2"/>
    <x v="6"/>
    <n v="83"/>
    <x v="64"/>
  </r>
  <r>
    <s v="E009"/>
    <s v="Usman Akhtar"/>
    <x v="3"/>
    <x v="6"/>
    <n v="76"/>
    <x v="65"/>
  </r>
  <r>
    <s v="E010"/>
    <s v="Ayesha Noor"/>
    <x v="3"/>
    <x v="6"/>
    <n v="94"/>
    <x v="66"/>
  </r>
  <r>
    <s v="E001"/>
    <s v="Ali Khan"/>
    <x v="1"/>
    <x v="7"/>
    <n v="74"/>
    <x v="2"/>
  </r>
  <r>
    <s v="E002"/>
    <s v="Sara Ahmed"/>
    <x v="0"/>
    <x v="7"/>
    <n v="98"/>
    <x v="27"/>
  </r>
  <r>
    <s v="E003"/>
    <s v="Imran Ali"/>
    <x v="0"/>
    <x v="7"/>
    <n v="71"/>
    <x v="67"/>
  </r>
  <r>
    <s v="E004"/>
    <s v="Mehak Mazhar"/>
    <x v="3"/>
    <x v="7"/>
    <n v="84"/>
    <x v="68"/>
  </r>
  <r>
    <s v="E005"/>
    <s v="Ahmed Raza"/>
    <x v="3"/>
    <x v="7"/>
    <n v="99"/>
    <x v="69"/>
  </r>
  <r>
    <s v="E006"/>
    <s v="Hina Tariq"/>
    <x v="2"/>
    <x v="7"/>
    <n v="74"/>
    <x v="70"/>
  </r>
  <r>
    <s v="E007"/>
    <s v="Bilal Hussain"/>
    <x v="2"/>
    <x v="7"/>
    <n v="76"/>
    <x v="71"/>
  </r>
  <r>
    <s v="E008"/>
    <s v="Sana Qureshi"/>
    <x v="1"/>
    <x v="7"/>
    <n v="92"/>
    <x v="72"/>
  </r>
  <r>
    <s v="E009"/>
    <s v="Usman Akhtar"/>
    <x v="2"/>
    <x v="7"/>
    <n v="93"/>
    <x v="73"/>
  </r>
  <r>
    <s v="E010"/>
    <s v="Ayesha Noor"/>
    <x v="2"/>
    <x v="7"/>
    <n v="77"/>
    <x v="74"/>
  </r>
  <r>
    <s v="E001"/>
    <s v="Ali Khan"/>
    <x v="3"/>
    <x v="8"/>
    <n v="83"/>
    <x v="47"/>
  </r>
  <r>
    <s v="E002"/>
    <s v="Sara Ahmed"/>
    <x v="1"/>
    <x v="8"/>
    <n v="99"/>
    <x v="73"/>
  </r>
  <r>
    <s v="E003"/>
    <s v="Imran Ali"/>
    <x v="1"/>
    <x v="8"/>
    <n v="84"/>
    <x v="75"/>
  </r>
  <r>
    <s v="E004"/>
    <s v="Mehak Mazhar"/>
    <x v="0"/>
    <x v="8"/>
    <n v="84"/>
    <x v="75"/>
  </r>
  <r>
    <s v="E005"/>
    <s v="Ahmed Raza"/>
    <x v="3"/>
    <x v="8"/>
    <n v="71"/>
    <x v="76"/>
  </r>
  <r>
    <s v="E006"/>
    <s v="Hina Tariq"/>
    <x v="4"/>
    <x v="8"/>
    <n v="86"/>
    <x v="77"/>
  </r>
  <r>
    <s v="E007"/>
    <s v="Bilal Hussain"/>
    <x v="1"/>
    <x v="8"/>
    <n v="77"/>
    <x v="50"/>
  </r>
  <r>
    <s v="E008"/>
    <s v="Sana Qureshi"/>
    <x v="3"/>
    <x v="8"/>
    <n v="94"/>
    <x v="78"/>
  </r>
  <r>
    <s v="E009"/>
    <s v="Usman Akhtar"/>
    <x v="2"/>
    <x v="8"/>
    <n v="75"/>
    <x v="54"/>
  </r>
  <r>
    <s v="E010"/>
    <s v="Ayesha Noor"/>
    <x v="1"/>
    <x v="8"/>
    <n v="71"/>
    <x v="79"/>
  </r>
  <r>
    <s v="E001"/>
    <s v="Ali Khan"/>
    <x v="1"/>
    <x v="9"/>
    <n v="96"/>
    <x v="80"/>
  </r>
  <r>
    <s v="E002"/>
    <s v="Sara Ahmed"/>
    <x v="4"/>
    <x v="9"/>
    <n v="80"/>
    <x v="81"/>
  </r>
  <r>
    <s v="E003"/>
    <s v="Imran Ali"/>
    <x v="4"/>
    <x v="9"/>
    <n v="86"/>
    <x v="82"/>
  </r>
  <r>
    <s v="E004"/>
    <s v="Mehak Mazhar"/>
    <x v="1"/>
    <x v="9"/>
    <n v="70"/>
    <x v="83"/>
  </r>
  <r>
    <s v="E005"/>
    <s v="Ahmed Raza"/>
    <x v="3"/>
    <x v="9"/>
    <n v="76"/>
    <x v="13"/>
  </r>
  <r>
    <s v="E006"/>
    <s v="Hina Tariq"/>
    <x v="4"/>
    <x v="9"/>
    <n v="98"/>
    <x v="84"/>
  </r>
  <r>
    <s v="E007"/>
    <s v="Bilal Hussain"/>
    <x v="2"/>
    <x v="9"/>
    <n v="81"/>
    <x v="85"/>
  </r>
  <r>
    <s v="E008"/>
    <s v="Sana Qureshi"/>
    <x v="4"/>
    <x v="9"/>
    <n v="73"/>
    <x v="86"/>
  </r>
  <r>
    <s v="E009"/>
    <s v="Usman Akhtar"/>
    <x v="4"/>
    <x v="9"/>
    <n v="86"/>
    <x v="87"/>
  </r>
  <r>
    <s v="E010"/>
    <s v="Ayesha Noor"/>
    <x v="3"/>
    <x v="9"/>
    <n v="83"/>
    <x v="88"/>
  </r>
  <r>
    <s v="E001"/>
    <s v="Ali Khan"/>
    <x v="4"/>
    <x v="10"/>
    <n v="93"/>
    <x v="89"/>
  </r>
  <r>
    <s v="E002"/>
    <s v="Sara Ahmed"/>
    <x v="3"/>
    <x v="10"/>
    <n v="92"/>
    <x v="90"/>
  </r>
  <r>
    <s v="E003"/>
    <s v="Imran Ali"/>
    <x v="3"/>
    <x v="10"/>
    <n v="96"/>
    <x v="91"/>
  </r>
  <r>
    <s v="E004"/>
    <s v="Mehak Mazhar"/>
    <x v="1"/>
    <x v="10"/>
    <n v="85"/>
    <x v="92"/>
  </r>
  <r>
    <s v="E005"/>
    <s v="Ahmed Raza"/>
    <x v="0"/>
    <x v="10"/>
    <n v="91"/>
    <x v="49"/>
  </r>
  <r>
    <s v="E006"/>
    <s v="Hina Tariq"/>
    <x v="4"/>
    <x v="10"/>
    <n v="85"/>
    <x v="93"/>
  </r>
  <r>
    <s v="E007"/>
    <s v="Bilal Hussain"/>
    <x v="0"/>
    <x v="10"/>
    <n v="92"/>
    <x v="94"/>
  </r>
  <r>
    <s v="E008"/>
    <s v="Sana Qureshi"/>
    <x v="1"/>
    <x v="10"/>
    <n v="77"/>
    <x v="95"/>
  </r>
  <r>
    <s v="E009"/>
    <s v="Usman Akhtar"/>
    <x v="3"/>
    <x v="10"/>
    <n v="87"/>
    <x v="96"/>
  </r>
  <r>
    <s v="E010"/>
    <s v="Ayesha Noor"/>
    <x v="4"/>
    <x v="10"/>
    <n v="77"/>
    <x v="97"/>
  </r>
  <r>
    <s v="E001"/>
    <s v="Ali Khan"/>
    <x v="3"/>
    <x v="11"/>
    <n v="71"/>
    <x v="98"/>
  </r>
  <r>
    <s v="E002"/>
    <s v="Sara Ahmed"/>
    <x v="2"/>
    <x v="11"/>
    <n v="87"/>
    <x v="99"/>
  </r>
  <r>
    <s v="E003"/>
    <s v="Imran Ali"/>
    <x v="3"/>
    <x v="11"/>
    <n v="82"/>
    <x v="100"/>
  </r>
  <r>
    <s v="E004"/>
    <s v="Mehak Mazhar"/>
    <x v="1"/>
    <x v="11"/>
    <n v="89"/>
    <x v="101"/>
  </r>
  <r>
    <s v="E005"/>
    <s v="Ahmed Raza"/>
    <x v="1"/>
    <x v="11"/>
    <n v="96"/>
    <x v="102"/>
  </r>
  <r>
    <s v="E006"/>
    <s v="Hina Tariq"/>
    <x v="4"/>
    <x v="11"/>
    <n v="71"/>
    <x v="103"/>
  </r>
  <r>
    <s v="E007"/>
    <s v="Bilal Hussain"/>
    <x v="2"/>
    <x v="11"/>
    <n v="75"/>
    <x v="104"/>
  </r>
  <r>
    <s v="E008"/>
    <s v="Sana Qureshi"/>
    <x v="2"/>
    <x v="11"/>
    <n v="75"/>
    <x v="105"/>
  </r>
  <r>
    <s v="E009"/>
    <s v="Usman Akhtar"/>
    <x v="4"/>
    <x v="11"/>
    <n v="75"/>
    <x v="104"/>
  </r>
  <r>
    <s v="E010"/>
    <s v="Ayesha Noor"/>
    <x v="0"/>
    <x v="11"/>
    <n v="73"/>
    <x v="106"/>
  </r>
  <r>
    <m/>
    <m/>
    <x v="5"/>
    <x v="12"/>
    <n v="10082"/>
    <x v="107"/>
  </r>
  <r>
    <m/>
    <m/>
    <x v="5"/>
    <x v="13"/>
    <n v="84.016666666666666"/>
    <x v="108"/>
  </r>
  <r>
    <m/>
    <m/>
    <x v="5"/>
    <x v="14"/>
    <m/>
    <x v="1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">
  <r>
    <s v="E001"/>
    <s v="Ali Khan"/>
    <x v="0"/>
    <s v="Jan"/>
    <n v="83"/>
    <n v="5644"/>
  </r>
  <r>
    <s v="E002"/>
    <s v="Sara Ahmed"/>
    <x v="1"/>
    <s v="Jan"/>
    <n v="91"/>
    <n v="3913"/>
  </r>
  <r>
    <s v="E003"/>
    <s v="Imran Ali"/>
    <x v="2"/>
    <s v="Jan"/>
    <n v="74"/>
    <n v="5920"/>
  </r>
  <r>
    <s v="E004"/>
    <s v="Mehak Mazhar"/>
    <x v="3"/>
    <s v="Jan"/>
    <n v="86"/>
    <n v="6020"/>
  </r>
  <r>
    <s v="E005"/>
    <s v="Ahmed Raza"/>
    <x v="4"/>
    <s v="Jan"/>
    <n v="85"/>
    <n v="4250"/>
  </r>
  <r>
    <s v="E006"/>
    <s v="Hina Tariq"/>
    <x v="2"/>
    <s v="Jan"/>
    <n v="71"/>
    <n v="4686"/>
  </r>
  <r>
    <s v="E007"/>
    <s v="Bilal Hussain"/>
    <x v="0"/>
    <s v="Jan"/>
    <n v="78"/>
    <n v="4836"/>
  </r>
  <r>
    <s v="E008"/>
    <s v="Sana Qureshi"/>
    <x v="1"/>
    <s v="Jan"/>
    <n v="77"/>
    <n v="5082"/>
  </r>
  <r>
    <s v="E009"/>
    <s v="Usman Akhtar"/>
    <x v="1"/>
    <s v="Jan"/>
    <n v="98"/>
    <n v="6468"/>
  </r>
  <r>
    <s v="E010"/>
    <s v="Ayesha Noor"/>
    <x v="0"/>
    <s v="Jan"/>
    <n v="88"/>
    <n v="6688"/>
  </r>
  <r>
    <s v="E001"/>
    <s v="Ali Khan"/>
    <x v="1"/>
    <s v="Feb"/>
    <n v="82"/>
    <n v="5248"/>
  </r>
  <r>
    <s v="E002"/>
    <s v="Sara Ahmed"/>
    <x v="1"/>
    <s v="Feb"/>
    <n v="71"/>
    <n v="2911"/>
  </r>
  <r>
    <s v="E003"/>
    <s v="Imran Ali"/>
    <x v="4"/>
    <s v="Feb"/>
    <n v="98"/>
    <n v="5684"/>
  </r>
  <r>
    <s v="E004"/>
    <s v="Mehak Mazhar"/>
    <x v="1"/>
    <s v="Feb"/>
    <n v="76"/>
    <n v="3420"/>
  </r>
  <r>
    <s v="E005"/>
    <s v="Ahmed Raza"/>
    <x v="2"/>
    <s v="Feb"/>
    <n v="82"/>
    <n v="6314"/>
  </r>
  <r>
    <s v="E006"/>
    <s v="Hina Tariq"/>
    <x v="3"/>
    <s v="Feb"/>
    <n v="88"/>
    <n v="5104"/>
  </r>
  <r>
    <s v="E007"/>
    <s v="Bilal Hussain"/>
    <x v="4"/>
    <s v="Feb"/>
    <n v="80"/>
    <n v="6400"/>
  </r>
  <r>
    <s v="E008"/>
    <s v="Sana Qureshi"/>
    <x v="1"/>
    <s v="Feb"/>
    <n v="95"/>
    <n v="7505"/>
  </r>
  <r>
    <s v="E009"/>
    <s v="Usman Akhtar"/>
    <x v="0"/>
    <s v="Feb"/>
    <n v="70"/>
    <n v="3780"/>
  </r>
  <r>
    <s v="E010"/>
    <s v="Ayesha Noor"/>
    <x v="0"/>
    <s v="Feb"/>
    <n v="71"/>
    <n v="3053"/>
  </r>
  <r>
    <s v="E001"/>
    <s v="Ali Khan"/>
    <x v="1"/>
    <s v="Mar"/>
    <n v="77"/>
    <n v="3773"/>
  </r>
  <r>
    <s v="E002"/>
    <s v="Sara Ahmed"/>
    <x v="4"/>
    <s v="Mar"/>
    <n v="70"/>
    <n v="2800"/>
  </r>
  <r>
    <s v="E003"/>
    <s v="Imran Ali"/>
    <x v="2"/>
    <s v="Mar"/>
    <n v="72"/>
    <n v="3456"/>
  </r>
  <r>
    <s v="E004"/>
    <s v="Mehak Mazhar"/>
    <x v="4"/>
    <s v="Mar"/>
    <n v="76"/>
    <n v="5168"/>
  </r>
  <r>
    <s v="E005"/>
    <s v="Ahmed Raza"/>
    <x v="0"/>
    <s v="Mar"/>
    <n v="98"/>
    <n v="5292"/>
  </r>
  <r>
    <s v="E006"/>
    <s v="Hina Tariq"/>
    <x v="4"/>
    <s v="Mar"/>
    <n v="82"/>
    <n v="3444"/>
  </r>
  <r>
    <s v="E007"/>
    <s v="Bilal Hussain"/>
    <x v="0"/>
    <s v="Mar"/>
    <n v="100"/>
    <n v="7800"/>
  </r>
  <r>
    <s v="E008"/>
    <s v="Sana Qureshi"/>
    <x v="4"/>
    <s v="Mar"/>
    <n v="98"/>
    <n v="6272"/>
  </r>
  <r>
    <s v="E009"/>
    <s v="Usman Akhtar"/>
    <x v="3"/>
    <s v="Mar"/>
    <n v="98"/>
    <n v="6664"/>
  </r>
  <r>
    <s v="E010"/>
    <s v="Ayesha Noor"/>
    <x v="0"/>
    <s v="Mar"/>
    <n v="79"/>
    <n v="4503"/>
  </r>
  <r>
    <s v="E001"/>
    <s v="Ali Khan"/>
    <x v="1"/>
    <s v="Apr"/>
    <n v="94"/>
    <n v="6956"/>
  </r>
  <r>
    <s v="E002"/>
    <s v="Sara Ahmed"/>
    <x v="2"/>
    <s v="Apr"/>
    <n v="78"/>
    <n v="4056"/>
  </r>
  <r>
    <s v="E003"/>
    <s v="Imran Ali"/>
    <x v="3"/>
    <s v="Apr"/>
    <n v="78"/>
    <n v="5850"/>
  </r>
  <r>
    <s v="E004"/>
    <s v="Mehak Mazhar"/>
    <x v="1"/>
    <s v="Apr"/>
    <n v="71"/>
    <n v="5183"/>
  </r>
  <r>
    <s v="E005"/>
    <s v="Ahmed Raza"/>
    <x v="3"/>
    <s v="Apr"/>
    <n v="77"/>
    <n v="3927"/>
  </r>
  <r>
    <s v="E006"/>
    <s v="Hina Tariq"/>
    <x v="2"/>
    <s v="Apr"/>
    <n v="91"/>
    <n v="5642"/>
  </r>
  <r>
    <s v="E007"/>
    <s v="Bilal Hussain"/>
    <x v="0"/>
    <s v="Apr"/>
    <n v="89"/>
    <n v="4361"/>
  </r>
  <r>
    <s v="E008"/>
    <s v="Sana Qureshi"/>
    <x v="0"/>
    <s v="Apr"/>
    <n v="96"/>
    <n v="7296"/>
  </r>
  <r>
    <s v="E009"/>
    <s v="Usman Akhtar"/>
    <x v="3"/>
    <s v="Apr"/>
    <n v="80"/>
    <n v="3360"/>
  </r>
  <r>
    <s v="E010"/>
    <s v="Ayesha Noor"/>
    <x v="4"/>
    <s v="Apr"/>
    <n v="92"/>
    <n v="6256"/>
  </r>
  <r>
    <s v="E001"/>
    <s v="Ali Khan"/>
    <x v="3"/>
    <s v="May"/>
    <n v="97"/>
    <n v="7663"/>
  </r>
  <r>
    <s v="E002"/>
    <s v="Sara Ahmed"/>
    <x v="0"/>
    <s v="May"/>
    <n v="77"/>
    <n v="3927"/>
  </r>
  <r>
    <s v="E003"/>
    <s v="Imran Ali"/>
    <x v="1"/>
    <s v="May"/>
    <n v="79"/>
    <n v="6241"/>
  </r>
  <r>
    <s v="E004"/>
    <s v="Mehak Mazhar"/>
    <x v="1"/>
    <s v="May"/>
    <n v="83"/>
    <n v="5395"/>
  </r>
  <r>
    <s v="E005"/>
    <s v="Ahmed Raza"/>
    <x v="2"/>
    <s v="May"/>
    <n v="97"/>
    <n v="7663"/>
  </r>
  <r>
    <s v="E006"/>
    <s v="Hina Tariq"/>
    <x v="2"/>
    <s v="May"/>
    <n v="80"/>
    <n v="5760"/>
  </r>
  <r>
    <s v="E007"/>
    <s v="Bilal Hussain"/>
    <x v="3"/>
    <s v="May"/>
    <n v="90"/>
    <n v="6300"/>
  </r>
  <r>
    <s v="E008"/>
    <s v="Sana Qureshi"/>
    <x v="1"/>
    <s v="May"/>
    <n v="83"/>
    <n v="3984"/>
  </r>
  <r>
    <s v="E009"/>
    <s v="Usman Akhtar"/>
    <x v="3"/>
    <s v="May"/>
    <n v="84"/>
    <n v="4788"/>
  </r>
  <r>
    <s v="E010"/>
    <s v="Ayesha Noor"/>
    <x v="3"/>
    <s v="May"/>
    <n v="83"/>
    <n v="5976"/>
  </r>
  <r>
    <s v="E001"/>
    <s v="Ali Khan"/>
    <x v="1"/>
    <s v="Jun"/>
    <n v="90"/>
    <n v="5760"/>
  </r>
  <r>
    <s v="E002"/>
    <s v="Sara Ahmed"/>
    <x v="2"/>
    <s v="Jun"/>
    <n v="75"/>
    <n v="3450"/>
  </r>
  <r>
    <s v="E003"/>
    <s v="Imran Ali"/>
    <x v="3"/>
    <s v="Jun"/>
    <n v="91"/>
    <n v="4004"/>
  </r>
  <r>
    <s v="E004"/>
    <s v="Mehak Mazhar"/>
    <x v="1"/>
    <s v="Jun"/>
    <n v="77"/>
    <n v="5390"/>
  </r>
  <r>
    <s v="E005"/>
    <s v="Ahmed Raza"/>
    <x v="0"/>
    <s v="Jun"/>
    <n v="83"/>
    <n v="6142"/>
  </r>
  <r>
    <s v="E006"/>
    <s v="Hina Tariq"/>
    <x v="2"/>
    <s v="Jun"/>
    <n v="85"/>
    <n v="3400"/>
  </r>
  <r>
    <s v="E007"/>
    <s v="Bilal Hussain"/>
    <x v="1"/>
    <s v="Jun"/>
    <n v="85"/>
    <n v="4590"/>
  </r>
  <r>
    <s v="E008"/>
    <s v="Sana Qureshi"/>
    <x v="2"/>
    <s v="Jun"/>
    <n v="100"/>
    <n v="6000"/>
  </r>
  <r>
    <s v="E009"/>
    <s v="Usman Akhtar"/>
    <x v="3"/>
    <s v="Jun"/>
    <n v="93"/>
    <n v="4929"/>
  </r>
  <r>
    <s v="E010"/>
    <s v="Ayesha Noor"/>
    <x v="2"/>
    <s v="Jun"/>
    <n v="96"/>
    <n v="7584"/>
  </r>
  <r>
    <s v="E001"/>
    <s v="Ali Khan"/>
    <x v="1"/>
    <s v="Jul"/>
    <n v="93"/>
    <n v="4650"/>
  </r>
  <r>
    <s v="E002"/>
    <s v="Sara Ahmed"/>
    <x v="1"/>
    <s v="Jul"/>
    <n v="84"/>
    <n v="5376"/>
  </r>
  <r>
    <s v="E003"/>
    <s v="Imran Ali"/>
    <x v="1"/>
    <s v="Jul"/>
    <n v="95"/>
    <n v="6365"/>
  </r>
  <r>
    <s v="E004"/>
    <s v="Mehak Mazhar"/>
    <x v="1"/>
    <s v="Jul"/>
    <n v="80"/>
    <n v="4880"/>
  </r>
  <r>
    <s v="E005"/>
    <s v="Ahmed Raza"/>
    <x v="2"/>
    <s v="Jul"/>
    <n v="91"/>
    <n v="7280"/>
  </r>
  <r>
    <s v="E006"/>
    <s v="Hina Tariq"/>
    <x v="3"/>
    <s v="Jul"/>
    <n v="79"/>
    <n v="5925"/>
  </r>
  <r>
    <s v="E007"/>
    <s v="Bilal Hussain"/>
    <x v="2"/>
    <s v="Jul"/>
    <n v="79"/>
    <n v="5372"/>
  </r>
  <r>
    <s v="E008"/>
    <s v="Sana Qureshi"/>
    <x v="2"/>
    <s v="Jul"/>
    <n v="83"/>
    <n v="3320"/>
  </r>
  <r>
    <s v="E009"/>
    <s v="Usman Akhtar"/>
    <x v="3"/>
    <s v="Jul"/>
    <n v="76"/>
    <n v="4712"/>
  </r>
  <r>
    <s v="E010"/>
    <s v="Ayesha Noor"/>
    <x v="3"/>
    <s v="Jul"/>
    <n v="94"/>
    <n v="6298"/>
  </r>
  <r>
    <s v="E001"/>
    <s v="Ali Khan"/>
    <x v="1"/>
    <s v="Aug"/>
    <n v="74"/>
    <n v="5920"/>
  </r>
  <r>
    <s v="E002"/>
    <s v="Sara Ahmed"/>
    <x v="0"/>
    <s v="Aug"/>
    <n v="98"/>
    <n v="6272"/>
  </r>
  <r>
    <s v="E003"/>
    <s v="Imran Ali"/>
    <x v="0"/>
    <s v="Aug"/>
    <n v="71"/>
    <n v="5112"/>
  </r>
  <r>
    <s v="E004"/>
    <s v="Mehak Mazhar"/>
    <x v="3"/>
    <s v="Aug"/>
    <n v="84"/>
    <n v="3528"/>
  </r>
  <r>
    <s v="E005"/>
    <s v="Ahmed Raza"/>
    <x v="3"/>
    <s v="Aug"/>
    <n v="99"/>
    <n v="5940"/>
  </r>
  <r>
    <s v="E006"/>
    <s v="Hina Tariq"/>
    <x v="2"/>
    <s v="Aug"/>
    <n v="74"/>
    <n v="5328"/>
  </r>
  <r>
    <s v="E007"/>
    <s v="Bilal Hussain"/>
    <x v="2"/>
    <s v="Aug"/>
    <n v="76"/>
    <n v="3268"/>
  </r>
  <r>
    <s v="E008"/>
    <s v="Sana Qureshi"/>
    <x v="1"/>
    <s v="Aug"/>
    <n v="92"/>
    <n v="6440"/>
  </r>
  <r>
    <s v="E009"/>
    <s v="Usman Akhtar"/>
    <x v="2"/>
    <s v="Aug"/>
    <n v="93"/>
    <n v="6138"/>
  </r>
  <r>
    <s v="E010"/>
    <s v="Ayesha Noor"/>
    <x v="2"/>
    <s v="Aug"/>
    <n v="77"/>
    <n v="4697"/>
  </r>
  <r>
    <s v="E001"/>
    <s v="Ali Khan"/>
    <x v="3"/>
    <s v="Sep"/>
    <n v="83"/>
    <n v="5976"/>
  </r>
  <r>
    <s v="E002"/>
    <s v="Sara Ahmed"/>
    <x v="1"/>
    <s v="Sep"/>
    <n v="99"/>
    <n v="6138"/>
  </r>
  <r>
    <s v="E003"/>
    <s v="Imran Ali"/>
    <x v="1"/>
    <s v="Sep"/>
    <n v="84"/>
    <n v="4956"/>
  </r>
  <r>
    <s v="E004"/>
    <s v="Mehak Mazhar"/>
    <x v="0"/>
    <s v="Sep"/>
    <n v="84"/>
    <n v="4956"/>
  </r>
  <r>
    <s v="E005"/>
    <s v="Ahmed Raza"/>
    <x v="3"/>
    <s v="Sep"/>
    <n v="71"/>
    <n v="5538"/>
  </r>
  <r>
    <s v="E006"/>
    <s v="Hina Tariq"/>
    <x v="4"/>
    <s v="Sep"/>
    <n v="86"/>
    <n v="5332"/>
  </r>
  <r>
    <s v="E007"/>
    <s v="Bilal Hussain"/>
    <x v="1"/>
    <s v="Sep"/>
    <n v="77"/>
    <n v="5390"/>
  </r>
  <r>
    <s v="E008"/>
    <s v="Sana Qureshi"/>
    <x v="3"/>
    <s v="Sep"/>
    <n v="94"/>
    <n v="5734"/>
  </r>
  <r>
    <s v="E009"/>
    <s v="Usman Akhtar"/>
    <x v="2"/>
    <s v="Sep"/>
    <n v="75"/>
    <n v="6000"/>
  </r>
  <r>
    <s v="E010"/>
    <s v="Ayesha Noor"/>
    <x v="1"/>
    <s v="Sep"/>
    <n v="71"/>
    <n v="3479"/>
  </r>
  <r>
    <s v="E001"/>
    <s v="Ali Khan"/>
    <x v="1"/>
    <s v="Oct"/>
    <n v="96"/>
    <n v="6528"/>
  </r>
  <r>
    <s v="E002"/>
    <s v="Sara Ahmed"/>
    <x v="4"/>
    <s v="Oct"/>
    <n v="80"/>
    <n v="3600"/>
  </r>
  <r>
    <s v="E003"/>
    <s v="Imran Ali"/>
    <x v="4"/>
    <s v="Oct"/>
    <n v="86"/>
    <n v="4644"/>
  </r>
  <r>
    <s v="E004"/>
    <s v="Mehak Mazhar"/>
    <x v="1"/>
    <s v="Oct"/>
    <n v="70"/>
    <n v="4130"/>
  </r>
  <r>
    <s v="E005"/>
    <s v="Ahmed Raza"/>
    <x v="3"/>
    <s v="Oct"/>
    <n v="76"/>
    <n v="3420"/>
  </r>
  <r>
    <s v="E006"/>
    <s v="Hina Tariq"/>
    <x v="4"/>
    <s v="Oct"/>
    <n v="98"/>
    <n v="4018"/>
  </r>
  <r>
    <s v="E007"/>
    <s v="Bilal Hussain"/>
    <x v="2"/>
    <s v="Oct"/>
    <n v="81"/>
    <n v="3483"/>
  </r>
  <r>
    <s v="E008"/>
    <s v="Sana Qureshi"/>
    <x v="4"/>
    <s v="Oct"/>
    <n v="73"/>
    <n v="4234"/>
  </r>
  <r>
    <s v="E009"/>
    <s v="Usman Akhtar"/>
    <x v="4"/>
    <s v="Oct"/>
    <n v="86"/>
    <n v="6794"/>
  </r>
  <r>
    <s v="E010"/>
    <s v="Ayesha Noor"/>
    <x v="3"/>
    <s v="Oct"/>
    <n v="83"/>
    <n v="5146"/>
  </r>
  <r>
    <s v="E001"/>
    <s v="Ali Khan"/>
    <x v="4"/>
    <s v="Nov"/>
    <n v="93"/>
    <n v="4092"/>
  </r>
  <r>
    <s v="E002"/>
    <s v="Sara Ahmed"/>
    <x v="3"/>
    <s v="Nov"/>
    <n v="92"/>
    <n v="4600"/>
  </r>
  <r>
    <s v="E003"/>
    <s v="Imran Ali"/>
    <x v="3"/>
    <s v="Nov"/>
    <n v="96"/>
    <n v="4128"/>
  </r>
  <r>
    <s v="E004"/>
    <s v="Mehak Mazhar"/>
    <x v="1"/>
    <s v="Nov"/>
    <n v="85"/>
    <n v="5950"/>
  </r>
  <r>
    <s v="E005"/>
    <s v="Ahmed Raza"/>
    <x v="0"/>
    <s v="Nov"/>
    <n v="91"/>
    <n v="4004"/>
  </r>
  <r>
    <s v="E006"/>
    <s v="Hina Tariq"/>
    <x v="4"/>
    <s v="Nov"/>
    <n v="85"/>
    <n v="6290"/>
  </r>
  <r>
    <s v="E007"/>
    <s v="Bilal Hussain"/>
    <x v="0"/>
    <s v="Nov"/>
    <n v="92"/>
    <n v="6532"/>
  </r>
  <r>
    <s v="E008"/>
    <s v="Sana Qureshi"/>
    <x v="1"/>
    <s v="Nov"/>
    <n v="77"/>
    <n v="3157"/>
  </r>
  <r>
    <s v="E009"/>
    <s v="Usman Akhtar"/>
    <x v="3"/>
    <s v="Nov"/>
    <n v="87"/>
    <n v="5220"/>
  </r>
  <r>
    <s v="E010"/>
    <s v="Ayesha Noor"/>
    <x v="4"/>
    <s v="Nov"/>
    <n v="77"/>
    <n v="5467"/>
  </r>
  <r>
    <s v="E001"/>
    <s v="Ali Khan"/>
    <x v="3"/>
    <s v="Dec"/>
    <n v="71"/>
    <n v="4899"/>
  </r>
  <r>
    <s v="E002"/>
    <s v="Sara Ahmed"/>
    <x v="2"/>
    <s v="Dec"/>
    <n v="87"/>
    <n v="4524"/>
  </r>
  <r>
    <s v="E003"/>
    <s v="Imran Ali"/>
    <x v="3"/>
    <s v="Dec"/>
    <n v="82"/>
    <n v="4428"/>
  </r>
  <r>
    <s v="E004"/>
    <s v="Mehak Mazhar"/>
    <x v="1"/>
    <s v="Dec"/>
    <n v="89"/>
    <n v="3560"/>
  </r>
  <r>
    <s v="E005"/>
    <s v="Ahmed Raza"/>
    <x v="1"/>
    <s v="Dec"/>
    <n v="96"/>
    <n v="6432"/>
  </r>
  <r>
    <s v="E006"/>
    <s v="Hina Tariq"/>
    <x v="4"/>
    <s v="Dec"/>
    <n v="71"/>
    <n v="3834"/>
  </r>
  <r>
    <s v="E007"/>
    <s v="Bilal Hussain"/>
    <x v="2"/>
    <s v="Dec"/>
    <n v="75"/>
    <n v="5775"/>
  </r>
  <r>
    <s v="E008"/>
    <s v="Sana Qureshi"/>
    <x v="2"/>
    <s v="Dec"/>
    <n v="75"/>
    <n v="4125"/>
  </r>
  <r>
    <s v="E009"/>
    <s v="Usman Akhtar"/>
    <x v="4"/>
    <s v="Dec"/>
    <n v="75"/>
    <n v="5775"/>
  </r>
  <r>
    <s v="E010"/>
    <s v="Ayesha Noor"/>
    <x v="0"/>
    <s v="Dec"/>
    <n v="73"/>
    <n v="32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2">
  <location ref="A3:B9" firstHeaderRow="1" firstDataRow="1" firstDataCol="1"/>
  <pivotFields count="6">
    <pivotField showAll="0"/>
    <pivotField showAll="0"/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formance Score" fld="4" subtotal="average" baseField="2" baseItem="0"/>
  </dataFields>
  <chartFormats count="1">
    <chartFormat chart="5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5:B11" firstHeaderRow="1" firstDataRow="1" firstDataCol="1"/>
  <pivotFields count="6">
    <pivotField showAll="0"/>
    <pivotField showAll="0"/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onus Earned" fld="5" subtotal="average" baseField="2" baseItem="0"/>
  </dataFields>
  <chartFormats count="6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9:B45" firstHeaderRow="1" firstDataRow="1" firstDataCol="1"/>
  <pivotFields count="6"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Yearly Bonus Distribution" fld="5" baseField="0" baseItem="0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24:B30" firstHeaderRow="1" firstDataRow="1" firstDataCol="1"/>
  <pivotFields count="6"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Yealy Average of Performance Score" fld="4" subtotal="average" baseField="2" baseItem="0"/>
  </dataField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N20" firstHeaderRow="1" firstDataRow="2" firstDataCol="1"/>
  <pivotFields count="6">
    <pivotField showAll="0"/>
    <pivotField showAll="0"/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x="14"/>
        <item t="default"/>
      </items>
    </pivotField>
    <pivotField showAll="0"/>
    <pivotField dataField="1" showAll="0">
      <items count="111">
        <item x="21"/>
        <item x="11"/>
        <item x="19"/>
        <item x="95"/>
        <item x="71"/>
        <item x="106"/>
        <item x="64"/>
        <item x="38"/>
        <item x="52"/>
        <item x="13"/>
        <item x="25"/>
        <item x="48"/>
        <item x="22"/>
        <item x="79"/>
        <item x="85"/>
        <item x="68"/>
        <item x="101"/>
        <item x="81"/>
        <item x="20"/>
        <item x="18"/>
        <item x="103"/>
        <item x="1"/>
        <item x="34"/>
        <item x="45"/>
        <item x="49"/>
        <item x="84"/>
        <item x="31"/>
        <item x="89"/>
        <item x="105"/>
        <item x="91"/>
        <item x="83"/>
        <item x="86"/>
        <item x="4"/>
        <item x="36"/>
        <item x="100"/>
        <item x="29"/>
        <item x="99"/>
        <item x="53"/>
        <item x="90"/>
        <item x="82"/>
        <item x="57"/>
        <item x="5"/>
        <item x="74"/>
        <item x="65"/>
        <item x="46"/>
        <item x="6"/>
        <item x="60"/>
        <item x="98"/>
        <item x="55"/>
        <item x="75"/>
        <item x="7"/>
        <item x="15"/>
        <item x="67"/>
        <item x="108"/>
        <item x="88"/>
        <item x="23"/>
        <item x="33"/>
        <item x="96"/>
        <item x="10"/>
        <item x="24"/>
        <item x="70"/>
        <item x="77"/>
        <item x="63"/>
        <item x="58"/>
        <item x="50"/>
        <item x="42"/>
        <item x="97"/>
        <item x="76"/>
        <item x="35"/>
        <item x="0"/>
        <item x="12"/>
        <item x="78"/>
        <item x="43"/>
        <item x="104"/>
        <item x="32"/>
        <item x="2"/>
        <item x="62"/>
        <item x="69"/>
        <item x="92"/>
        <item x="47"/>
        <item x="54"/>
        <item x="3"/>
        <item x="73"/>
        <item x="51"/>
        <item x="41"/>
        <item x="39"/>
        <item x="27"/>
        <item x="93"/>
        <item x="66"/>
        <item x="44"/>
        <item x="14"/>
        <item x="59"/>
        <item x="16"/>
        <item x="102"/>
        <item x="72"/>
        <item x="8"/>
        <item x="80"/>
        <item x="94"/>
        <item x="28"/>
        <item x="9"/>
        <item x="87"/>
        <item x="30"/>
        <item x="61"/>
        <item x="37"/>
        <item x="17"/>
        <item x="56"/>
        <item x="40"/>
        <item x="26"/>
        <item x="107"/>
        <item x="10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onthly Total of Bonus Earned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N10" firstHeaderRow="1" firstDataRow="2" firstDataCol="1"/>
  <pivotFields count="6">
    <pivotField showAll="0"/>
    <pivotField showAll="0"/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onthly Average of Performance Score" fld="4" subtotal="average" baseField="2" baseItem="0"/>
  </dataFields>
  <chartFormats count="1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123" totalsRowShown="0" headerRowDxfId="2" headerRowBorderDxfId="1" tableBorderDxfId="0">
  <autoFilter ref="A1:F1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Employee ID"/>
    <tableColumn id="2" name="Name"/>
    <tableColumn id="3" name="Department"/>
    <tableColumn id="4" name="Month"/>
    <tableColumn id="5" name="Performance Score"/>
    <tableColumn id="6" name="Bonus Earn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28.28515625" bestFit="1" customWidth="1"/>
  </cols>
  <sheetData>
    <row r="3" spans="1:2" x14ac:dyDescent="0.25">
      <c r="A3" s="6" t="s">
        <v>45</v>
      </c>
      <c r="B3" t="s">
        <v>47</v>
      </c>
    </row>
    <row r="4" spans="1:2" x14ac:dyDescent="0.25">
      <c r="A4" s="7" t="s">
        <v>30</v>
      </c>
      <c r="B4" s="8">
        <v>83.736842105263165</v>
      </c>
    </row>
    <row r="5" spans="1:2" x14ac:dyDescent="0.25">
      <c r="A5" s="7" t="s">
        <v>26</v>
      </c>
      <c r="B5" s="8">
        <v>84.5</v>
      </c>
    </row>
    <row r="6" spans="1:2" x14ac:dyDescent="0.25">
      <c r="A6" s="7" t="s">
        <v>28</v>
      </c>
      <c r="B6" s="8">
        <v>81.958333333333329</v>
      </c>
    </row>
    <row r="7" spans="1:2" x14ac:dyDescent="0.25">
      <c r="A7" s="7" t="s">
        <v>27</v>
      </c>
      <c r="B7" s="8">
        <v>84.09375</v>
      </c>
    </row>
    <row r="8" spans="1:2" x14ac:dyDescent="0.25">
      <c r="A8" s="7" t="s">
        <v>29</v>
      </c>
      <c r="B8" s="8">
        <v>85.629629629629633</v>
      </c>
    </row>
    <row r="9" spans="1:2" x14ac:dyDescent="0.25">
      <c r="A9" s="7" t="s">
        <v>46</v>
      </c>
      <c r="B9" s="8">
        <v>84.016666666666666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1"/>
  <sheetViews>
    <sheetView workbookViewId="0">
      <selection activeCell="C20" sqref="C20"/>
    </sheetView>
  </sheetViews>
  <sheetFormatPr defaultRowHeight="15" x14ac:dyDescent="0.25"/>
  <cols>
    <col min="1" max="1" width="13.140625" bestFit="1" customWidth="1"/>
    <col min="2" max="2" width="23.42578125" bestFit="1" customWidth="1"/>
  </cols>
  <sheetData>
    <row r="5" spans="1:2" x14ac:dyDescent="0.25">
      <c r="A5" s="6" t="s">
        <v>45</v>
      </c>
      <c r="B5" t="s">
        <v>48</v>
      </c>
    </row>
    <row r="6" spans="1:2" x14ac:dyDescent="0.25">
      <c r="A6" s="7" t="s">
        <v>30</v>
      </c>
      <c r="B6" s="8">
        <v>4966</v>
      </c>
    </row>
    <row r="7" spans="1:2" x14ac:dyDescent="0.25">
      <c r="A7" s="7" t="s">
        <v>26</v>
      </c>
      <c r="B7" s="8">
        <v>5193.5</v>
      </c>
    </row>
    <row r="8" spans="1:2" x14ac:dyDescent="0.25">
      <c r="A8" s="7" t="s">
        <v>28</v>
      </c>
      <c r="B8" s="8">
        <v>5135.041666666667</v>
      </c>
    </row>
    <row r="9" spans="1:2" x14ac:dyDescent="0.25">
      <c r="A9" s="7" t="s">
        <v>27</v>
      </c>
      <c r="B9" s="8">
        <v>5161.5625</v>
      </c>
    </row>
    <row r="10" spans="1:2" x14ac:dyDescent="0.25">
      <c r="A10" s="7" t="s">
        <v>29</v>
      </c>
      <c r="B10" s="8">
        <v>5188.0370370370374</v>
      </c>
    </row>
    <row r="11" spans="1:2" x14ac:dyDescent="0.25">
      <c r="A11" s="7" t="s">
        <v>46</v>
      </c>
      <c r="B11" s="8">
        <v>5136.041666666667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5"/>
  <sheetViews>
    <sheetView tabSelected="1" topLeftCell="A31" workbookViewId="0">
      <selection activeCell="O53" sqref="O53"/>
    </sheetView>
  </sheetViews>
  <sheetFormatPr defaultRowHeight="15" x14ac:dyDescent="0.25"/>
  <cols>
    <col min="1" max="1" width="13.140625" customWidth="1"/>
    <col min="2" max="2" width="24.7109375" customWidth="1"/>
    <col min="3" max="4" width="5" customWidth="1"/>
    <col min="5" max="5" width="10.140625" customWidth="1"/>
    <col min="6" max="6" width="5.5703125" customWidth="1"/>
    <col min="7" max="7" width="11.28515625" customWidth="1"/>
    <col min="8" max="13" width="6" customWidth="1"/>
    <col min="14" max="14" width="11.28515625" customWidth="1"/>
    <col min="15" max="15" width="6.5703125" customWidth="1"/>
    <col min="16" max="16" width="12" bestFit="1" customWidth="1"/>
  </cols>
  <sheetData>
    <row r="3" spans="1:14" x14ac:dyDescent="0.25">
      <c r="A3" s="6" t="s">
        <v>51</v>
      </c>
      <c r="B3" s="6" t="s">
        <v>49</v>
      </c>
    </row>
    <row r="4" spans="1:14" x14ac:dyDescent="0.25">
      <c r="A4" s="6" t="s">
        <v>45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46</v>
      </c>
    </row>
    <row r="5" spans="1:14" x14ac:dyDescent="0.25">
      <c r="A5" s="7" t="s">
        <v>30</v>
      </c>
      <c r="B5" s="8">
        <v>85</v>
      </c>
      <c r="C5" s="8">
        <v>89</v>
      </c>
      <c r="D5" s="8">
        <v>81.5</v>
      </c>
      <c r="E5" s="8">
        <v>92</v>
      </c>
      <c r="F5" s="8"/>
      <c r="G5" s="8"/>
      <c r="H5" s="8"/>
      <c r="I5" s="8"/>
      <c r="J5" s="8">
        <v>86</v>
      </c>
      <c r="K5" s="8">
        <v>84.6</v>
      </c>
      <c r="L5" s="8">
        <v>85</v>
      </c>
      <c r="M5" s="8">
        <v>73</v>
      </c>
      <c r="N5" s="8">
        <v>83.736842105263165</v>
      </c>
    </row>
    <row r="6" spans="1:14" x14ac:dyDescent="0.25">
      <c r="A6" s="7" t="s">
        <v>26</v>
      </c>
      <c r="B6" s="8">
        <v>83</v>
      </c>
      <c r="C6" s="8">
        <v>70.5</v>
      </c>
      <c r="D6" s="8">
        <v>92.333333333333329</v>
      </c>
      <c r="E6" s="8">
        <v>92.5</v>
      </c>
      <c r="F6" s="8">
        <v>77</v>
      </c>
      <c r="G6" s="8">
        <v>83</v>
      </c>
      <c r="H6" s="8"/>
      <c r="I6" s="8">
        <v>84.5</v>
      </c>
      <c r="J6" s="8">
        <v>84</v>
      </c>
      <c r="K6" s="8"/>
      <c r="L6" s="8">
        <v>91.5</v>
      </c>
      <c r="M6" s="8">
        <v>73</v>
      </c>
      <c r="N6" s="8">
        <v>84.5</v>
      </c>
    </row>
    <row r="7" spans="1:14" x14ac:dyDescent="0.25">
      <c r="A7" s="7" t="s">
        <v>28</v>
      </c>
      <c r="B7" s="8">
        <v>72.5</v>
      </c>
      <c r="C7" s="8">
        <v>82</v>
      </c>
      <c r="D7" s="8">
        <v>72</v>
      </c>
      <c r="E7" s="8">
        <v>84.5</v>
      </c>
      <c r="F7" s="8">
        <v>88.5</v>
      </c>
      <c r="G7" s="8">
        <v>89</v>
      </c>
      <c r="H7" s="8">
        <v>84.333333333333329</v>
      </c>
      <c r="I7" s="8">
        <v>80</v>
      </c>
      <c r="J7" s="8">
        <v>75</v>
      </c>
      <c r="K7" s="8">
        <v>81</v>
      </c>
      <c r="L7" s="8"/>
      <c r="M7" s="8">
        <v>79</v>
      </c>
      <c r="N7" s="8">
        <v>81.958333333333329</v>
      </c>
    </row>
    <row r="8" spans="1:14" x14ac:dyDescent="0.25">
      <c r="A8" s="7" t="s">
        <v>27</v>
      </c>
      <c r="B8" s="8">
        <v>88.666666666666671</v>
      </c>
      <c r="C8" s="8">
        <v>81</v>
      </c>
      <c r="D8" s="8">
        <v>77</v>
      </c>
      <c r="E8" s="8">
        <v>82.5</v>
      </c>
      <c r="F8" s="8">
        <v>81.666666666666671</v>
      </c>
      <c r="G8" s="8">
        <v>84</v>
      </c>
      <c r="H8" s="8">
        <v>88</v>
      </c>
      <c r="I8" s="8">
        <v>83</v>
      </c>
      <c r="J8" s="8">
        <v>82.75</v>
      </c>
      <c r="K8" s="8">
        <v>83</v>
      </c>
      <c r="L8" s="8">
        <v>81</v>
      </c>
      <c r="M8" s="8">
        <v>92.5</v>
      </c>
      <c r="N8" s="8">
        <v>84.09375</v>
      </c>
    </row>
    <row r="9" spans="1:14" x14ac:dyDescent="0.25">
      <c r="A9" s="7" t="s">
        <v>29</v>
      </c>
      <c r="B9" s="8">
        <v>86</v>
      </c>
      <c r="C9" s="8">
        <v>88</v>
      </c>
      <c r="D9" s="8">
        <v>98</v>
      </c>
      <c r="E9" s="8">
        <v>78.333333333333329</v>
      </c>
      <c r="F9" s="8">
        <v>88.5</v>
      </c>
      <c r="G9" s="8">
        <v>92</v>
      </c>
      <c r="H9" s="8">
        <v>83</v>
      </c>
      <c r="I9" s="8">
        <v>91.5</v>
      </c>
      <c r="J9" s="8">
        <v>82.666666666666671</v>
      </c>
      <c r="K9" s="8">
        <v>79.5</v>
      </c>
      <c r="L9" s="8">
        <v>91.666666666666671</v>
      </c>
      <c r="M9" s="8">
        <v>76.5</v>
      </c>
      <c r="N9" s="8">
        <v>85.629629629629633</v>
      </c>
    </row>
    <row r="10" spans="1:14" x14ac:dyDescent="0.25">
      <c r="A10" s="7" t="s">
        <v>46</v>
      </c>
      <c r="B10" s="8">
        <v>83.1</v>
      </c>
      <c r="C10" s="8">
        <v>81.3</v>
      </c>
      <c r="D10" s="8">
        <v>85</v>
      </c>
      <c r="E10" s="8">
        <v>84.6</v>
      </c>
      <c r="F10" s="8">
        <v>85.3</v>
      </c>
      <c r="G10" s="8">
        <v>87.5</v>
      </c>
      <c r="H10" s="8">
        <v>85.4</v>
      </c>
      <c r="I10" s="8">
        <v>83.8</v>
      </c>
      <c r="J10" s="8">
        <v>82.4</v>
      </c>
      <c r="K10" s="8">
        <v>82.9</v>
      </c>
      <c r="L10" s="8">
        <v>87.5</v>
      </c>
      <c r="M10" s="8">
        <v>79.400000000000006</v>
      </c>
      <c r="N10" s="8">
        <v>84.016666666666666</v>
      </c>
    </row>
    <row r="11" spans="1:14" x14ac:dyDescent="0.25">
      <c r="D11" t="s">
        <v>50</v>
      </c>
    </row>
    <row r="13" spans="1:14" x14ac:dyDescent="0.25">
      <c r="A13" s="6" t="s">
        <v>52</v>
      </c>
      <c r="B13" s="6" t="s">
        <v>49</v>
      </c>
    </row>
    <row r="14" spans="1:14" x14ac:dyDescent="0.25">
      <c r="A14" s="6" t="s">
        <v>45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46</v>
      </c>
    </row>
    <row r="15" spans="1:14" x14ac:dyDescent="0.25">
      <c r="A15" s="7" t="s">
        <v>30</v>
      </c>
      <c r="B15" s="8">
        <v>4250</v>
      </c>
      <c r="C15" s="8">
        <v>12084</v>
      </c>
      <c r="D15" s="8">
        <v>17684</v>
      </c>
      <c r="E15" s="8">
        <v>6256</v>
      </c>
      <c r="F15" s="8"/>
      <c r="G15" s="8"/>
      <c r="H15" s="8"/>
      <c r="I15" s="8"/>
      <c r="J15" s="8">
        <v>5332</v>
      </c>
      <c r="K15" s="8">
        <v>23290</v>
      </c>
      <c r="L15" s="8">
        <v>15849</v>
      </c>
      <c r="M15" s="8">
        <v>9609</v>
      </c>
      <c r="N15" s="8">
        <v>94354</v>
      </c>
    </row>
    <row r="16" spans="1:14" x14ac:dyDescent="0.25">
      <c r="A16" s="7" t="s">
        <v>26</v>
      </c>
      <c r="B16" s="8">
        <v>17168</v>
      </c>
      <c r="C16" s="8">
        <v>6833</v>
      </c>
      <c r="D16" s="8">
        <v>17595</v>
      </c>
      <c r="E16" s="8">
        <v>11657</v>
      </c>
      <c r="F16" s="8">
        <v>3927</v>
      </c>
      <c r="G16" s="8">
        <v>6142</v>
      </c>
      <c r="H16" s="8"/>
      <c r="I16" s="8">
        <v>11384</v>
      </c>
      <c r="J16" s="8">
        <v>4956</v>
      </c>
      <c r="K16" s="8"/>
      <c r="L16" s="8">
        <v>10536</v>
      </c>
      <c r="M16" s="8">
        <v>3285</v>
      </c>
      <c r="N16" s="8">
        <v>93483</v>
      </c>
    </row>
    <row r="17" spans="1:14" x14ac:dyDescent="0.25">
      <c r="A17" s="7" t="s">
        <v>28</v>
      </c>
      <c r="B17" s="8">
        <v>10606</v>
      </c>
      <c r="C17" s="8">
        <v>6314</v>
      </c>
      <c r="D17" s="8">
        <v>3456</v>
      </c>
      <c r="E17" s="8">
        <v>9698</v>
      </c>
      <c r="F17" s="8">
        <v>13423</v>
      </c>
      <c r="G17" s="8">
        <v>20434</v>
      </c>
      <c r="H17" s="8">
        <v>15972</v>
      </c>
      <c r="I17" s="8">
        <v>19431</v>
      </c>
      <c r="J17" s="8">
        <v>6000</v>
      </c>
      <c r="K17" s="8">
        <v>3483</v>
      </c>
      <c r="L17" s="8"/>
      <c r="M17" s="8">
        <v>14424</v>
      </c>
      <c r="N17" s="8">
        <v>123241</v>
      </c>
    </row>
    <row r="18" spans="1:14" x14ac:dyDescent="0.25">
      <c r="A18" s="7" t="s">
        <v>27</v>
      </c>
      <c r="B18" s="8">
        <v>15463</v>
      </c>
      <c r="C18" s="8">
        <v>19084</v>
      </c>
      <c r="D18" s="8">
        <v>3773</v>
      </c>
      <c r="E18" s="8">
        <v>12139</v>
      </c>
      <c r="F18" s="8">
        <v>15620</v>
      </c>
      <c r="G18" s="8">
        <v>15740</v>
      </c>
      <c r="H18" s="8">
        <v>21271</v>
      </c>
      <c r="I18" s="8">
        <v>12360</v>
      </c>
      <c r="J18" s="8">
        <v>19963</v>
      </c>
      <c r="K18" s="8">
        <v>10658</v>
      </c>
      <c r="L18" s="8">
        <v>9107</v>
      </c>
      <c r="M18" s="8">
        <v>9992</v>
      </c>
      <c r="N18" s="8">
        <v>165170</v>
      </c>
    </row>
    <row r="19" spans="1:14" x14ac:dyDescent="0.25">
      <c r="A19" s="7" t="s">
        <v>29</v>
      </c>
      <c r="B19" s="8">
        <v>6020</v>
      </c>
      <c r="C19" s="8">
        <v>5104</v>
      </c>
      <c r="D19" s="8">
        <v>6664</v>
      </c>
      <c r="E19" s="8">
        <v>13137</v>
      </c>
      <c r="F19" s="8">
        <v>24727</v>
      </c>
      <c r="G19" s="8">
        <v>8933</v>
      </c>
      <c r="H19" s="8">
        <v>16935</v>
      </c>
      <c r="I19" s="8">
        <v>9468</v>
      </c>
      <c r="J19" s="8">
        <v>17248</v>
      </c>
      <c r="K19" s="8">
        <v>8566</v>
      </c>
      <c r="L19" s="8">
        <v>13948</v>
      </c>
      <c r="M19" s="8">
        <v>9327</v>
      </c>
      <c r="N19" s="8">
        <v>140077</v>
      </c>
    </row>
    <row r="20" spans="1:14" x14ac:dyDescent="0.25">
      <c r="A20" s="7" t="s">
        <v>46</v>
      </c>
      <c r="B20" s="8">
        <v>53507</v>
      </c>
      <c r="C20" s="8">
        <v>49419</v>
      </c>
      <c r="D20" s="8">
        <v>49172</v>
      </c>
      <c r="E20" s="8">
        <v>52887</v>
      </c>
      <c r="F20" s="8">
        <v>57697</v>
      </c>
      <c r="G20" s="8">
        <v>51249</v>
      </c>
      <c r="H20" s="8">
        <v>54178</v>
      </c>
      <c r="I20" s="8">
        <v>52643</v>
      </c>
      <c r="J20" s="8">
        <v>53499</v>
      </c>
      <c r="K20" s="8">
        <v>45997</v>
      </c>
      <c r="L20" s="8">
        <v>49440</v>
      </c>
      <c r="M20" s="8">
        <v>46637</v>
      </c>
      <c r="N20" s="8">
        <v>616325</v>
      </c>
    </row>
    <row r="24" spans="1:14" x14ac:dyDescent="0.25">
      <c r="A24" s="6" t="s">
        <v>45</v>
      </c>
      <c r="B24" t="s">
        <v>53</v>
      </c>
    </row>
    <row r="25" spans="1:14" x14ac:dyDescent="0.25">
      <c r="A25" s="7" t="s">
        <v>30</v>
      </c>
      <c r="B25" s="8">
        <v>83.736842105263165</v>
      </c>
    </row>
    <row r="26" spans="1:14" x14ac:dyDescent="0.25">
      <c r="A26" s="7" t="s">
        <v>26</v>
      </c>
      <c r="B26" s="8">
        <v>84.5</v>
      </c>
    </row>
    <row r="27" spans="1:14" x14ac:dyDescent="0.25">
      <c r="A27" s="7" t="s">
        <v>28</v>
      </c>
      <c r="B27" s="8">
        <v>81.958333333333329</v>
      </c>
    </row>
    <row r="28" spans="1:14" x14ac:dyDescent="0.25">
      <c r="A28" s="7" t="s">
        <v>27</v>
      </c>
      <c r="B28" s="8">
        <v>84.09375</v>
      </c>
    </row>
    <row r="29" spans="1:14" x14ac:dyDescent="0.25">
      <c r="A29" s="7" t="s">
        <v>29</v>
      </c>
      <c r="B29" s="8">
        <v>85.629629629629633</v>
      </c>
    </row>
    <row r="30" spans="1:14" x14ac:dyDescent="0.25">
      <c r="A30" s="7" t="s">
        <v>46</v>
      </c>
      <c r="B30" s="8">
        <v>84.016666666666666</v>
      </c>
    </row>
    <row r="39" spans="1:2" x14ac:dyDescent="0.25">
      <c r="A39" s="6" t="s">
        <v>45</v>
      </c>
      <c r="B39" t="s">
        <v>54</v>
      </c>
    </row>
    <row r="40" spans="1:2" x14ac:dyDescent="0.25">
      <c r="A40" s="7" t="s">
        <v>30</v>
      </c>
      <c r="B40" s="8">
        <v>94354</v>
      </c>
    </row>
    <row r="41" spans="1:2" x14ac:dyDescent="0.25">
      <c r="A41" s="7" t="s">
        <v>26</v>
      </c>
      <c r="B41" s="8">
        <v>93483</v>
      </c>
    </row>
    <row r="42" spans="1:2" x14ac:dyDescent="0.25">
      <c r="A42" s="7" t="s">
        <v>28</v>
      </c>
      <c r="B42" s="8">
        <v>123241</v>
      </c>
    </row>
    <row r="43" spans="1:2" x14ac:dyDescent="0.25">
      <c r="A43" s="7" t="s">
        <v>27</v>
      </c>
      <c r="B43" s="8">
        <v>165170</v>
      </c>
    </row>
    <row r="44" spans="1:2" x14ac:dyDescent="0.25">
      <c r="A44" s="7" t="s">
        <v>29</v>
      </c>
      <c r="B44" s="8">
        <v>140077</v>
      </c>
    </row>
    <row r="45" spans="1:2" x14ac:dyDescent="0.25">
      <c r="A45" s="7" t="s">
        <v>46</v>
      </c>
      <c r="B45" s="8">
        <v>616325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opLeftCell="A3" workbookViewId="0">
      <selection activeCell="G15" sqref="G15"/>
    </sheetView>
  </sheetViews>
  <sheetFormatPr defaultRowHeight="15" x14ac:dyDescent="0.25"/>
  <cols>
    <col min="1" max="1" width="16.42578125" customWidth="1"/>
    <col min="2" max="2" width="15.7109375" customWidth="1"/>
    <col min="3" max="3" width="13.85546875" customWidth="1"/>
    <col min="5" max="5" width="19.85546875" customWidth="1"/>
    <col min="6" max="6" width="19.5703125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16</v>
      </c>
      <c r="C2" t="s">
        <v>26</v>
      </c>
      <c r="D2" t="s">
        <v>31</v>
      </c>
      <c r="E2">
        <v>83</v>
      </c>
      <c r="F2">
        <v>5644</v>
      </c>
    </row>
    <row r="3" spans="1:6" x14ac:dyDescent="0.25">
      <c r="A3" t="s">
        <v>7</v>
      </c>
      <c r="B3" t="s">
        <v>17</v>
      </c>
      <c r="C3" t="s">
        <v>27</v>
      </c>
      <c r="D3" t="s">
        <v>31</v>
      </c>
      <c r="E3">
        <v>91</v>
      </c>
      <c r="F3">
        <v>3913</v>
      </c>
    </row>
    <row r="4" spans="1:6" x14ac:dyDescent="0.25">
      <c r="A4" t="s">
        <v>8</v>
      </c>
      <c r="B4" t="s">
        <v>18</v>
      </c>
      <c r="C4" t="s">
        <v>28</v>
      </c>
      <c r="D4" t="s">
        <v>31</v>
      </c>
      <c r="E4">
        <v>74</v>
      </c>
      <c r="F4">
        <v>5920</v>
      </c>
    </row>
    <row r="5" spans="1:6" x14ac:dyDescent="0.25">
      <c r="A5" t="s">
        <v>9</v>
      </c>
      <c r="B5" t="s">
        <v>19</v>
      </c>
      <c r="C5" t="s">
        <v>29</v>
      </c>
      <c r="D5" t="s">
        <v>31</v>
      </c>
      <c r="E5">
        <v>86</v>
      </c>
      <c r="F5">
        <v>6020</v>
      </c>
    </row>
    <row r="6" spans="1:6" x14ac:dyDescent="0.25">
      <c r="A6" t="s">
        <v>10</v>
      </c>
      <c r="B6" t="s">
        <v>20</v>
      </c>
      <c r="C6" t="s">
        <v>30</v>
      </c>
      <c r="D6" t="s">
        <v>31</v>
      </c>
      <c r="E6">
        <v>85</v>
      </c>
      <c r="F6">
        <v>4250</v>
      </c>
    </row>
    <row r="7" spans="1:6" x14ac:dyDescent="0.25">
      <c r="A7" t="s">
        <v>11</v>
      </c>
      <c r="B7" t="s">
        <v>21</v>
      </c>
      <c r="C7" t="s">
        <v>28</v>
      </c>
      <c r="D7" t="s">
        <v>31</v>
      </c>
      <c r="E7">
        <v>71</v>
      </c>
      <c r="F7">
        <v>4686</v>
      </c>
    </row>
    <row r="8" spans="1:6" x14ac:dyDescent="0.25">
      <c r="A8" t="s">
        <v>12</v>
      </c>
      <c r="B8" t="s">
        <v>22</v>
      </c>
      <c r="C8" t="s">
        <v>26</v>
      </c>
      <c r="D8" t="s">
        <v>31</v>
      </c>
      <c r="E8">
        <v>78</v>
      </c>
      <c r="F8">
        <v>4836</v>
      </c>
    </row>
    <row r="9" spans="1:6" x14ac:dyDescent="0.25">
      <c r="A9" t="s">
        <v>13</v>
      </c>
      <c r="B9" t="s">
        <v>23</v>
      </c>
      <c r="C9" t="s">
        <v>27</v>
      </c>
      <c r="D9" t="s">
        <v>31</v>
      </c>
      <c r="E9">
        <v>77</v>
      </c>
      <c r="F9">
        <v>5082</v>
      </c>
    </row>
    <row r="10" spans="1:6" x14ac:dyDescent="0.25">
      <c r="A10" t="s">
        <v>14</v>
      </c>
      <c r="B10" t="s">
        <v>24</v>
      </c>
      <c r="C10" t="s">
        <v>27</v>
      </c>
      <c r="D10" t="s">
        <v>31</v>
      </c>
      <c r="E10">
        <v>98</v>
      </c>
      <c r="F10">
        <v>6468</v>
      </c>
    </row>
    <row r="11" spans="1:6" x14ac:dyDescent="0.25">
      <c r="A11" t="s">
        <v>15</v>
      </c>
      <c r="B11" t="s">
        <v>25</v>
      </c>
      <c r="C11" t="s">
        <v>26</v>
      </c>
      <c r="D11" t="s">
        <v>31</v>
      </c>
      <c r="E11">
        <v>88</v>
      </c>
      <c r="F11">
        <v>6688</v>
      </c>
    </row>
    <row r="12" spans="1:6" x14ac:dyDescent="0.25">
      <c r="A12" t="s">
        <v>6</v>
      </c>
      <c r="B12" t="s">
        <v>16</v>
      </c>
      <c r="C12" t="s">
        <v>27</v>
      </c>
      <c r="D12" t="s">
        <v>32</v>
      </c>
      <c r="E12">
        <v>82</v>
      </c>
      <c r="F12">
        <v>5248</v>
      </c>
    </row>
    <row r="13" spans="1:6" x14ac:dyDescent="0.25">
      <c r="A13" t="s">
        <v>7</v>
      </c>
      <c r="B13" t="s">
        <v>17</v>
      </c>
      <c r="C13" t="s">
        <v>27</v>
      </c>
      <c r="D13" t="s">
        <v>32</v>
      </c>
      <c r="E13">
        <v>71</v>
      </c>
      <c r="F13">
        <v>2911</v>
      </c>
    </row>
    <row r="14" spans="1:6" x14ac:dyDescent="0.25">
      <c r="A14" t="s">
        <v>8</v>
      </c>
      <c r="B14" t="s">
        <v>18</v>
      </c>
      <c r="C14" t="s">
        <v>30</v>
      </c>
      <c r="D14" t="s">
        <v>32</v>
      </c>
      <c r="E14">
        <v>98</v>
      </c>
      <c r="F14">
        <v>5684</v>
      </c>
    </row>
    <row r="15" spans="1:6" x14ac:dyDescent="0.25">
      <c r="A15" t="s">
        <v>9</v>
      </c>
      <c r="B15" t="s">
        <v>19</v>
      </c>
      <c r="C15" t="s">
        <v>27</v>
      </c>
      <c r="D15" t="s">
        <v>32</v>
      </c>
      <c r="E15">
        <v>76</v>
      </c>
      <c r="F15">
        <v>3420</v>
      </c>
    </row>
    <row r="16" spans="1:6" x14ac:dyDescent="0.25">
      <c r="A16" t="s">
        <v>10</v>
      </c>
      <c r="B16" t="s">
        <v>20</v>
      </c>
      <c r="C16" t="s">
        <v>28</v>
      </c>
      <c r="D16" t="s">
        <v>32</v>
      </c>
      <c r="E16">
        <v>82</v>
      </c>
      <c r="F16">
        <v>6314</v>
      </c>
    </row>
    <row r="17" spans="1:6" x14ac:dyDescent="0.25">
      <c r="A17" t="s">
        <v>11</v>
      </c>
      <c r="B17" t="s">
        <v>21</v>
      </c>
      <c r="C17" t="s">
        <v>29</v>
      </c>
      <c r="D17" t="s">
        <v>32</v>
      </c>
      <c r="E17">
        <v>88</v>
      </c>
      <c r="F17">
        <v>5104</v>
      </c>
    </row>
    <row r="18" spans="1:6" x14ac:dyDescent="0.25">
      <c r="A18" t="s">
        <v>12</v>
      </c>
      <c r="B18" t="s">
        <v>22</v>
      </c>
      <c r="C18" t="s">
        <v>30</v>
      </c>
      <c r="D18" t="s">
        <v>32</v>
      </c>
      <c r="E18">
        <v>80</v>
      </c>
      <c r="F18">
        <v>6400</v>
      </c>
    </row>
    <row r="19" spans="1:6" x14ac:dyDescent="0.25">
      <c r="A19" t="s">
        <v>13</v>
      </c>
      <c r="B19" t="s">
        <v>23</v>
      </c>
      <c r="C19" t="s">
        <v>27</v>
      </c>
      <c r="D19" t="s">
        <v>32</v>
      </c>
      <c r="E19">
        <v>95</v>
      </c>
      <c r="F19">
        <v>7505</v>
      </c>
    </row>
    <row r="20" spans="1:6" x14ac:dyDescent="0.25">
      <c r="A20" t="s">
        <v>14</v>
      </c>
      <c r="B20" t="s">
        <v>24</v>
      </c>
      <c r="C20" t="s">
        <v>26</v>
      </c>
      <c r="D20" t="s">
        <v>32</v>
      </c>
      <c r="E20">
        <v>70</v>
      </c>
      <c r="F20">
        <v>3780</v>
      </c>
    </row>
    <row r="21" spans="1:6" x14ac:dyDescent="0.25">
      <c r="A21" t="s">
        <v>15</v>
      </c>
      <c r="B21" t="s">
        <v>25</v>
      </c>
      <c r="C21" t="s">
        <v>26</v>
      </c>
      <c r="D21" t="s">
        <v>32</v>
      </c>
      <c r="E21">
        <v>71</v>
      </c>
      <c r="F21">
        <v>3053</v>
      </c>
    </row>
    <row r="22" spans="1:6" x14ac:dyDescent="0.25">
      <c r="A22" t="s">
        <v>6</v>
      </c>
      <c r="B22" t="s">
        <v>16</v>
      </c>
      <c r="C22" t="s">
        <v>27</v>
      </c>
      <c r="D22" t="s">
        <v>33</v>
      </c>
      <c r="E22">
        <v>77</v>
      </c>
      <c r="F22">
        <v>3773</v>
      </c>
    </row>
    <row r="23" spans="1:6" x14ac:dyDescent="0.25">
      <c r="A23" t="s">
        <v>7</v>
      </c>
      <c r="B23" t="s">
        <v>17</v>
      </c>
      <c r="C23" t="s">
        <v>30</v>
      </c>
      <c r="D23" t="s">
        <v>33</v>
      </c>
      <c r="E23">
        <v>70</v>
      </c>
      <c r="F23">
        <v>2800</v>
      </c>
    </row>
    <row r="24" spans="1:6" x14ac:dyDescent="0.25">
      <c r="A24" t="s">
        <v>8</v>
      </c>
      <c r="B24" t="s">
        <v>18</v>
      </c>
      <c r="C24" t="s">
        <v>28</v>
      </c>
      <c r="D24" t="s">
        <v>33</v>
      </c>
      <c r="E24">
        <v>72</v>
      </c>
      <c r="F24">
        <v>3456</v>
      </c>
    </row>
    <row r="25" spans="1:6" x14ac:dyDescent="0.25">
      <c r="A25" t="s">
        <v>9</v>
      </c>
      <c r="B25" t="s">
        <v>19</v>
      </c>
      <c r="C25" t="s">
        <v>30</v>
      </c>
      <c r="D25" t="s">
        <v>33</v>
      </c>
      <c r="E25">
        <v>76</v>
      </c>
      <c r="F25">
        <v>5168</v>
      </c>
    </row>
    <row r="26" spans="1:6" x14ac:dyDescent="0.25">
      <c r="A26" t="s">
        <v>10</v>
      </c>
      <c r="B26" t="s">
        <v>20</v>
      </c>
      <c r="C26" t="s">
        <v>26</v>
      </c>
      <c r="D26" t="s">
        <v>33</v>
      </c>
      <c r="E26">
        <v>98</v>
      </c>
      <c r="F26">
        <v>5292</v>
      </c>
    </row>
    <row r="27" spans="1:6" x14ac:dyDescent="0.25">
      <c r="A27" t="s">
        <v>11</v>
      </c>
      <c r="B27" t="s">
        <v>21</v>
      </c>
      <c r="C27" t="s">
        <v>30</v>
      </c>
      <c r="D27" t="s">
        <v>33</v>
      </c>
      <c r="E27">
        <v>82</v>
      </c>
      <c r="F27">
        <v>3444</v>
      </c>
    </row>
    <row r="28" spans="1:6" x14ac:dyDescent="0.25">
      <c r="A28" t="s">
        <v>12</v>
      </c>
      <c r="B28" t="s">
        <v>22</v>
      </c>
      <c r="C28" t="s">
        <v>26</v>
      </c>
      <c r="D28" t="s">
        <v>33</v>
      </c>
      <c r="E28">
        <v>100</v>
      </c>
      <c r="F28">
        <v>7800</v>
      </c>
    </row>
    <row r="29" spans="1:6" x14ac:dyDescent="0.25">
      <c r="A29" t="s">
        <v>13</v>
      </c>
      <c r="B29" t="s">
        <v>23</v>
      </c>
      <c r="C29" t="s">
        <v>30</v>
      </c>
      <c r="D29" t="s">
        <v>33</v>
      </c>
      <c r="E29">
        <v>98</v>
      </c>
      <c r="F29">
        <v>6272</v>
      </c>
    </row>
    <row r="30" spans="1:6" x14ac:dyDescent="0.25">
      <c r="A30" t="s">
        <v>14</v>
      </c>
      <c r="B30" t="s">
        <v>24</v>
      </c>
      <c r="C30" t="s">
        <v>29</v>
      </c>
      <c r="D30" t="s">
        <v>33</v>
      </c>
      <c r="E30">
        <v>98</v>
      </c>
      <c r="F30">
        <v>6664</v>
      </c>
    </row>
    <row r="31" spans="1:6" x14ac:dyDescent="0.25">
      <c r="A31" t="s">
        <v>15</v>
      </c>
      <c r="B31" t="s">
        <v>25</v>
      </c>
      <c r="C31" t="s">
        <v>26</v>
      </c>
      <c r="D31" t="s">
        <v>33</v>
      </c>
      <c r="E31">
        <v>79</v>
      </c>
      <c r="F31">
        <v>4503</v>
      </c>
    </row>
    <row r="32" spans="1:6" x14ac:dyDescent="0.25">
      <c r="A32" t="s">
        <v>6</v>
      </c>
      <c r="B32" t="s">
        <v>16</v>
      </c>
      <c r="C32" t="s">
        <v>27</v>
      </c>
      <c r="D32" t="s">
        <v>34</v>
      </c>
      <c r="E32">
        <v>94</v>
      </c>
      <c r="F32">
        <v>6956</v>
      </c>
    </row>
    <row r="33" spans="1:6" x14ac:dyDescent="0.25">
      <c r="A33" t="s">
        <v>7</v>
      </c>
      <c r="B33" t="s">
        <v>17</v>
      </c>
      <c r="C33" t="s">
        <v>28</v>
      </c>
      <c r="D33" t="s">
        <v>34</v>
      </c>
      <c r="E33">
        <v>78</v>
      </c>
      <c r="F33">
        <v>4056</v>
      </c>
    </row>
    <row r="34" spans="1:6" x14ac:dyDescent="0.25">
      <c r="A34" t="s">
        <v>8</v>
      </c>
      <c r="B34" t="s">
        <v>18</v>
      </c>
      <c r="C34" t="s">
        <v>29</v>
      </c>
      <c r="D34" t="s">
        <v>34</v>
      </c>
      <c r="E34">
        <v>78</v>
      </c>
      <c r="F34">
        <v>5850</v>
      </c>
    </row>
    <row r="35" spans="1:6" x14ac:dyDescent="0.25">
      <c r="A35" t="s">
        <v>9</v>
      </c>
      <c r="B35" t="s">
        <v>19</v>
      </c>
      <c r="C35" t="s">
        <v>27</v>
      </c>
      <c r="D35" t="s">
        <v>34</v>
      </c>
      <c r="E35">
        <v>71</v>
      </c>
      <c r="F35">
        <v>5183</v>
      </c>
    </row>
    <row r="36" spans="1:6" x14ac:dyDescent="0.25">
      <c r="A36" t="s">
        <v>10</v>
      </c>
      <c r="B36" t="s">
        <v>20</v>
      </c>
      <c r="C36" t="s">
        <v>29</v>
      </c>
      <c r="D36" t="s">
        <v>34</v>
      </c>
      <c r="E36">
        <v>77</v>
      </c>
      <c r="F36">
        <v>3927</v>
      </c>
    </row>
    <row r="37" spans="1:6" x14ac:dyDescent="0.25">
      <c r="A37" t="s">
        <v>11</v>
      </c>
      <c r="B37" t="s">
        <v>21</v>
      </c>
      <c r="C37" t="s">
        <v>28</v>
      </c>
      <c r="D37" t="s">
        <v>34</v>
      </c>
      <c r="E37">
        <v>91</v>
      </c>
      <c r="F37">
        <v>5642</v>
      </c>
    </row>
    <row r="38" spans="1:6" x14ac:dyDescent="0.25">
      <c r="A38" t="s">
        <v>12</v>
      </c>
      <c r="B38" t="s">
        <v>22</v>
      </c>
      <c r="C38" t="s">
        <v>26</v>
      </c>
      <c r="D38" t="s">
        <v>34</v>
      </c>
      <c r="E38">
        <v>89</v>
      </c>
      <c r="F38">
        <v>4361</v>
      </c>
    </row>
    <row r="39" spans="1:6" x14ac:dyDescent="0.25">
      <c r="A39" t="s">
        <v>13</v>
      </c>
      <c r="B39" t="s">
        <v>23</v>
      </c>
      <c r="C39" t="s">
        <v>26</v>
      </c>
      <c r="D39" t="s">
        <v>34</v>
      </c>
      <c r="E39">
        <v>96</v>
      </c>
      <c r="F39">
        <v>7296</v>
      </c>
    </row>
    <row r="40" spans="1:6" x14ac:dyDescent="0.25">
      <c r="A40" t="s">
        <v>14</v>
      </c>
      <c r="B40" t="s">
        <v>24</v>
      </c>
      <c r="C40" t="s">
        <v>29</v>
      </c>
      <c r="D40" t="s">
        <v>34</v>
      </c>
      <c r="E40">
        <v>80</v>
      </c>
      <c r="F40">
        <v>3360</v>
      </c>
    </row>
    <row r="41" spans="1:6" x14ac:dyDescent="0.25">
      <c r="A41" t="s">
        <v>15</v>
      </c>
      <c r="B41" t="s">
        <v>25</v>
      </c>
      <c r="C41" t="s">
        <v>30</v>
      </c>
      <c r="D41" t="s">
        <v>34</v>
      </c>
      <c r="E41">
        <v>92</v>
      </c>
      <c r="F41">
        <v>6256</v>
      </c>
    </row>
    <row r="42" spans="1:6" x14ac:dyDescent="0.25">
      <c r="A42" t="s">
        <v>6</v>
      </c>
      <c r="B42" t="s">
        <v>16</v>
      </c>
      <c r="C42" t="s">
        <v>29</v>
      </c>
      <c r="D42" t="s">
        <v>35</v>
      </c>
      <c r="E42">
        <v>97</v>
      </c>
      <c r="F42">
        <v>7663</v>
      </c>
    </row>
    <row r="43" spans="1:6" x14ac:dyDescent="0.25">
      <c r="A43" t="s">
        <v>7</v>
      </c>
      <c r="B43" t="s">
        <v>17</v>
      </c>
      <c r="C43" t="s">
        <v>26</v>
      </c>
      <c r="D43" t="s">
        <v>35</v>
      </c>
      <c r="E43">
        <v>77</v>
      </c>
      <c r="F43">
        <v>3927</v>
      </c>
    </row>
    <row r="44" spans="1:6" x14ac:dyDescent="0.25">
      <c r="A44" t="s">
        <v>8</v>
      </c>
      <c r="B44" t="s">
        <v>18</v>
      </c>
      <c r="C44" t="s">
        <v>27</v>
      </c>
      <c r="D44" t="s">
        <v>35</v>
      </c>
      <c r="E44">
        <v>79</v>
      </c>
      <c r="F44">
        <v>6241</v>
      </c>
    </row>
    <row r="45" spans="1:6" x14ac:dyDescent="0.25">
      <c r="A45" t="s">
        <v>9</v>
      </c>
      <c r="B45" t="s">
        <v>19</v>
      </c>
      <c r="C45" t="s">
        <v>27</v>
      </c>
      <c r="D45" t="s">
        <v>35</v>
      </c>
      <c r="E45">
        <v>83</v>
      </c>
      <c r="F45">
        <v>5395</v>
      </c>
    </row>
    <row r="46" spans="1:6" x14ac:dyDescent="0.25">
      <c r="A46" t="s">
        <v>10</v>
      </c>
      <c r="B46" t="s">
        <v>20</v>
      </c>
      <c r="C46" t="s">
        <v>28</v>
      </c>
      <c r="D46" t="s">
        <v>35</v>
      </c>
      <c r="E46">
        <v>97</v>
      </c>
      <c r="F46">
        <v>7663</v>
      </c>
    </row>
    <row r="47" spans="1:6" x14ac:dyDescent="0.25">
      <c r="A47" t="s">
        <v>11</v>
      </c>
      <c r="B47" t="s">
        <v>21</v>
      </c>
      <c r="C47" t="s">
        <v>28</v>
      </c>
      <c r="D47" t="s">
        <v>35</v>
      </c>
      <c r="E47">
        <v>80</v>
      </c>
      <c r="F47">
        <v>5760</v>
      </c>
    </row>
    <row r="48" spans="1:6" x14ac:dyDescent="0.25">
      <c r="A48" t="s">
        <v>12</v>
      </c>
      <c r="B48" t="s">
        <v>22</v>
      </c>
      <c r="C48" t="s">
        <v>29</v>
      </c>
      <c r="D48" t="s">
        <v>35</v>
      </c>
      <c r="E48">
        <v>90</v>
      </c>
      <c r="F48">
        <v>6300</v>
      </c>
    </row>
    <row r="49" spans="1:6" x14ac:dyDescent="0.25">
      <c r="A49" t="s">
        <v>13</v>
      </c>
      <c r="B49" t="s">
        <v>23</v>
      </c>
      <c r="C49" t="s">
        <v>27</v>
      </c>
      <c r="D49" t="s">
        <v>35</v>
      </c>
      <c r="E49">
        <v>83</v>
      </c>
      <c r="F49">
        <v>3984</v>
      </c>
    </row>
    <row r="50" spans="1:6" x14ac:dyDescent="0.25">
      <c r="A50" t="s">
        <v>14</v>
      </c>
      <c r="B50" t="s">
        <v>24</v>
      </c>
      <c r="C50" t="s">
        <v>29</v>
      </c>
      <c r="D50" t="s">
        <v>35</v>
      </c>
      <c r="E50">
        <v>84</v>
      </c>
      <c r="F50">
        <v>4788</v>
      </c>
    </row>
    <row r="51" spans="1:6" x14ac:dyDescent="0.25">
      <c r="A51" t="s">
        <v>15</v>
      </c>
      <c r="B51" t="s">
        <v>25</v>
      </c>
      <c r="C51" t="s">
        <v>29</v>
      </c>
      <c r="D51" t="s">
        <v>35</v>
      </c>
      <c r="E51">
        <v>83</v>
      </c>
      <c r="F51">
        <v>5976</v>
      </c>
    </row>
    <row r="52" spans="1:6" x14ac:dyDescent="0.25">
      <c r="A52" t="s">
        <v>6</v>
      </c>
      <c r="B52" t="s">
        <v>16</v>
      </c>
      <c r="C52" t="s">
        <v>27</v>
      </c>
      <c r="D52" t="s">
        <v>36</v>
      </c>
      <c r="E52">
        <v>90</v>
      </c>
      <c r="F52">
        <v>5760</v>
      </c>
    </row>
    <row r="53" spans="1:6" x14ac:dyDescent="0.25">
      <c r="A53" t="s">
        <v>7</v>
      </c>
      <c r="B53" t="s">
        <v>17</v>
      </c>
      <c r="C53" t="s">
        <v>28</v>
      </c>
      <c r="D53" t="s">
        <v>36</v>
      </c>
      <c r="E53">
        <v>75</v>
      </c>
      <c r="F53">
        <v>3450</v>
      </c>
    </row>
    <row r="54" spans="1:6" x14ac:dyDescent="0.25">
      <c r="A54" t="s">
        <v>8</v>
      </c>
      <c r="B54" t="s">
        <v>18</v>
      </c>
      <c r="C54" t="s">
        <v>29</v>
      </c>
      <c r="D54" t="s">
        <v>36</v>
      </c>
      <c r="E54">
        <v>91</v>
      </c>
      <c r="F54">
        <v>4004</v>
      </c>
    </row>
    <row r="55" spans="1:6" x14ac:dyDescent="0.25">
      <c r="A55" t="s">
        <v>9</v>
      </c>
      <c r="B55" t="s">
        <v>19</v>
      </c>
      <c r="C55" t="s">
        <v>27</v>
      </c>
      <c r="D55" t="s">
        <v>36</v>
      </c>
      <c r="E55">
        <v>77</v>
      </c>
      <c r="F55">
        <v>5390</v>
      </c>
    </row>
    <row r="56" spans="1:6" x14ac:dyDescent="0.25">
      <c r="A56" t="s">
        <v>10</v>
      </c>
      <c r="B56" t="s">
        <v>20</v>
      </c>
      <c r="C56" t="s">
        <v>26</v>
      </c>
      <c r="D56" t="s">
        <v>36</v>
      </c>
      <c r="E56">
        <v>83</v>
      </c>
      <c r="F56">
        <v>6142</v>
      </c>
    </row>
    <row r="57" spans="1:6" x14ac:dyDescent="0.25">
      <c r="A57" t="s">
        <v>11</v>
      </c>
      <c r="B57" t="s">
        <v>21</v>
      </c>
      <c r="C57" t="s">
        <v>28</v>
      </c>
      <c r="D57" t="s">
        <v>36</v>
      </c>
      <c r="E57">
        <v>85</v>
      </c>
      <c r="F57">
        <v>3400</v>
      </c>
    </row>
    <row r="58" spans="1:6" x14ac:dyDescent="0.25">
      <c r="A58" t="s">
        <v>12</v>
      </c>
      <c r="B58" t="s">
        <v>22</v>
      </c>
      <c r="C58" t="s">
        <v>27</v>
      </c>
      <c r="D58" t="s">
        <v>36</v>
      </c>
      <c r="E58">
        <v>85</v>
      </c>
      <c r="F58">
        <v>4590</v>
      </c>
    </row>
    <row r="59" spans="1:6" x14ac:dyDescent="0.25">
      <c r="A59" t="s">
        <v>13</v>
      </c>
      <c r="B59" t="s">
        <v>23</v>
      </c>
      <c r="C59" t="s">
        <v>28</v>
      </c>
      <c r="D59" t="s">
        <v>36</v>
      </c>
      <c r="E59">
        <v>100</v>
      </c>
      <c r="F59">
        <v>6000</v>
      </c>
    </row>
    <row r="60" spans="1:6" x14ac:dyDescent="0.25">
      <c r="A60" t="s">
        <v>14</v>
      </c>
      <c r="B60" t="s">
        <v>24</v>
      </c>
      <c r="C60" t="s">
        <v>29</v>
      </c>
      <c r="D60" t="s">
        <v>36</v>
      </c>
      <c r="E60">
        <v>93</v>
      </c>
      <c r="F60">
        <v>4929</v>
      </c>
    </row>
    <row r="61" spans="1:6" x14ac:dyDescent="0.25">
      <c r="A61" t="s">
        <v>15</v>
      </c>
      <c r="B61" t="s">
        <v>25</v>
      </c>
      <c r="C61" t="s">
        <v>28</v>
      </c>
      <c r="D61" t="s">
        <v>36</v>
      </c>
      <c r="E61">
        <v>96</v>
      </c>
      <c r="F61">
        <v>7584</v>
      </c>
    </row>
    <row r="62" spans="1:6" x14ac:dyDescent="0.25">
      <c r="A62" t="s">
        <v>6</v>
      </c>
      <c r="B62" t="s">
        <v>16</v>
      </c>
      <c r="C62" t="s">
        <v>27</v>
      </c>
      <c r="D62" t="s">
        <v>37</v>
      </c>
      <c r="E62">
        <v>93</v>
      </c>
      <c r="F62">
        <v>4650</v>
      </c>
    </row>
    <row r="63" spans="1:6" x14ac:dyDescent="0.25">
      <c r="A63" t="s">
        <v>7</v>
      </c>
      <c r="B63" t="s">
        <v>17</v>
      </c>
      <c r="C63" t="s">
        <v>27</v>
      </c>
      <c r="D63" t="s">
        <v>37</v>
      </c>
      <c r="E63">
        <v>84</v>
      </c>
      <c r="F63">
        <v>5376</v>
      </c>
    </row>
    <row r="64" spans="1:6" x14ac:dyDescent="0.25">
      <c r="A64" t="s">
        <v>8</v>
      </c>
      <c r="B64" t="s">
        <v>18</v>
      </c>
      <c r="C64" t="s">
        <v>27</v>
      </c>
      <c r="D64" t="s">
        <v>37</v>
      </c>
      <c r="E64">
        <v>95</v>
      </c>
      <c r="F64">
        <v>6365</v>
      </c>
    </row>
    <row r="65" spans="1:6" x14ac:dyDescent="0.25">
      <c r="A65" t="s">
        <v>9</v>
      </c>
      <c r="B65" t="s">
        <v>19</v>
      </c>
      <c r="C65" t="s">
        <v>27</v>
      </c>
      <c r="D65" t="s">
        <v>37</v>
      </c>
      <c r="E65">
        <v>80</v>
      </c>
      <c r="F65">
        <v>4880</v>
      </c>
    </row>
    <row r="66" spans="1:6" x14ac:dyDescent="0.25">
      <c r="A66" t="s">
        <v>10</v>
      </c>
      <c r="B66" t="s">
        <v>20</v>
      </c>
      <c r="C66" t="s">
        <v>28</v>
      </c>
      <c r="D66" t="s">
        <v>37</v>
      </c>
      <c r="E66">
        <v>91</v>
      </c>
      <c r="F66">
        <v>7280</v>
      </c>
    </row>
    <row r="67" spans="1:6" x14ac:dyDescent="0.25">
      <c r="A67" t="s">
        <v>11</v>
      </c>
      <c r="B67" t="s">
        <v>21</v>
      </c>
      <c r="C67" t="s">
        <v>29</v>
      </c>
      <c r="D67" t="s">
        <v>37</v>
      </c>
      <c r="E67">
        <v>79</v>
      </c>
      <c r="F67">
        <v>5925</v>
      </c>
    </row>
    <row r="68" spans="1:6" x14ac:dyDescent="0.25">
      <c r="A68" t="s">
        <v>12</v>
      </c>
      <c r="B68" t="s">
        <v>22</v>
      </c>
      <c r="C68" t="s">
        <v>28</v>
      </c>
      <c r="D68" t="s">
        <v>37</v>
      </c>
      <c r="E68">
        <v>79</v>
      </c>
      <c r="F68">
        <v>5372</v>
      </c>
    </row>
    <row r="69" spans="1:6" x14ac:dyDescent="0.25">
      <c r="A69" t="s">
        <v>13</v>
      </c>
      <c r="B69" t="s">
        <v>23</v>
      </c>
      <c r="C69" t="s">
        <v>28</v>
      </c>
      <c r="D69" t="s">
        <v>37</v>
      </c>
      <c r="E69">
        <v>83</v>
      </c>
      <c r="F69">
        <v>3320</v>
      </c>
    </row>
    <row r="70" spans="1:6" x14ac:dyDescent="0.25">
      <c r="A70" t="s">
        <v>14</v>
      </c>
      <c r="B70" t="s">
        <v>24</v>
      </c>
      <c r="C70" t="s">
        <v>29</v>
      </c>
      <c r="D70" t="s">
        <v>37</v>
      </c>
      <c r="E70">
        <v>76</v>
      </c>
      <c r="F70">
        <v>4712</v>
      </c>
    </row>
    <row r="71" spans="1:6" x14ac:dyDescent="0.25">
      <c r="A71" t="s">
        <v>15</v>
      </c>
      <c r="B71" t="s">
        <v>25</v>
      </c>
      <c r="C71" t="s">
        <v>29</v>
      </c>
      <c r="D71" t="s">
        <v>37</v>
      </c>
      <c r="E71">
        <v>94</v>
      </c>
      <c r="F71">
        <v>6298</v>
      </c>
    </row>
    <row r="72" spans="1:6" x14ac:dyDescent="0.25">
      <c r="A72" t="s">
        <v>6</v>
      </c>
      <c r="B72" t="s">
        <v>16</v>
      </c>
      <c r="C72" t="s">
        <v>27</v>
      </c>
      <c r="D72" t="s">
        <v>38</v>
      </c>
      <c r="E72">
        <v>74</v>
      </c>
      <c r="F72">
        <v>5920</v>
      </c>
    </row>
    <row r="73" spans="1:6" x14ac:dyDescent="0.25">
      <c r="A73" t="s">
        <v>7</v>
      </c>
      <c r="B73" t="s">
        <v>17</v>
      </c>
      <c r="C73" t="s">
        <v>26</v>
      </c>
      <c r="D73" t="s">
        <v>38</v>
      </c>
      <c r="E73">
        <v>98</v>
      </c>
      <c r="F73">
        <v>6272</v>
      </c>
    </row>
    <row r="74" spans="1:6" x14ac:dyDescent="0.25">
      <c r="A74" t="s">
        <v>8</v>
      </c>
      <c r="B74" t="s">
        <v>18</v>
      </c>
      <c r="C74" t="s">
        <v>26</v>
      </c>
      <c r="D74" t="s">
        <v>38</v>
      </c>
      <c r="E74">
        <v>71</v>
      </c>
      <c r="F74">
        <v>5112</v>
      </c>
    </row>
    <row r="75" spans="1:6" x14ac:dyDescent="0.25">
      <c r="A75" t="s">
        <v>9</v>
      </c>
      <c r="B75" t="s">
        <v>19</v>
      </c>
      <c r="C75" t="s">
        <v>29</v>
      </c>
      <c r="D75" t="s">
        <v>38</v>
      </c>
      <c r="E75">
        <v>84</v>
      </c>
      <c r="F75">
        <v>3528</v>
      </c>
    </row>
    <row r="76" spans="1:6" x14ac:dyDescent="0.25">
      <c r="A76" t="s">
        <v>10</v>
      </c>
      <c r="B76" t="s">
        <v>20</v>
      </c>
      <c r="C76" t="s">
        <v>29</v>
      </c>
      <c r="D76" t="s">
        <v>38</v>
      </c>
      <c r="E76">
        <v>99</v>
      </c>
      <c r="F76">
        <v>5940</v>
      </c>
    </row>
    <row r="77" spans="1:6" x14ac:dyDescent="0.25">
      <c r="A77" t="s">
        <v>11</v>
      </c>
      <c r="B77" t="s">
        <v>21</v>
      </c>
      <c r="C77" t="s">
        <v>28</v>
      </c>
      <c r="D77" t="s">
        <v>38</v>
      </c>
      <c r="E77">
        <v>74</v>
      </c>
      <c r="F77">
        <v>5328</v>
      </c>
    </row>
    <row r="78" spans="1:6" x14ac:dyDescent="0.25">
      <c r="A78" t="s">
        <v>12</v>
      </c>
      <c r="B78" t="s">
        <v>22</v>
      </c>
      <c r="C78" t="s">
        <v>28</v>
      </c>
      <c r="D78" t="s">
        <v>38</v>
      </c>
      <c r="E78">
        <v>76</v>
      </c>
      <c r="F78">
        <v>3268</v>
      </c>
    </row>
    <row r="79" spans="1:6" x14ac:dyDescent="0.25">
      <c r="A79" t="s">
        <v>13</v>
      </c>
      <c r="B79" t="s">
        <v>23</v>
      </c>
      <c r="C79" t="s">
        <v>27</v>
      </c>
      <c r="D79" t="s">
        <v>38</v>
      </c>
      <c r="E79">
        <v>92</v>
      </c>
      <c r="F79">
        <v>6440</v>
      </c>
    </row>
    <row r="80" spans="1:6" x14ac:dyDescent="0.25">
      <c r="A80" t="s">
        <v>14</v>
      </c>
      <c r="B80" t="s">
        <v>24</v>
      </c>
      <c r="C80" t="s">
        <v>28</v>
      </c>
      <c r="D80" t="s">
        <v>38</v>
      </c>
      <c r="E80">
        <v>93</v>
      </c>
      <c r="F80">
        <v>6138</v>
      </c>
    </row>
    <row r="81" spans="1:6" x14ac:dyDescent="0.25">
      <c r="A81" t="s">
        <v>15</v>
      </c>
      <c r="B81" t="s">
        <v>25</v>
      </c>
      <c r="C81" t="s">
        <v>28</v>
      </c>
      <c r="D81" t="s">
        <v>38</v>
      </c>
      <c r="E81">
        <v>77</v>
      </c>
      <c r="F81">
        <v>4697</v>
      </c>
    </row>
    <row r="82" spans="1:6" x14ac:dyDescent="0.25">
      <c r="A82" t="s">
        <v>6</v>
      </c>
      <c r="B82" t="s">
        <v>16</v>
      </c>
      <c r="C82" t="s">
        <v>29</v>
      </c>
      <c r="D82" t="s">
        <v>39</v>
      </c>
      <c r="E82">
        <v>83</v>
      </c>
      <c r="F82">
        <v>5976</v>
      </c>
    </row>
    <row r="83" spans="1:6" x14ac:dyDescent="0.25">
      <c r="A83" t="s">
        <v>7</v>
      </c>
      <c r="B83" t="s">
        <v>17</v>
      </c>
      <c r="C83" t="s">
        <v>27</v>
      </c>
      <c r="D83" t="s">
        <v>39</v>
      </c>
      <c r="E83">
        <v>99</v>
      </c>
      <c r="F83">
        <v>6138</v>
      </c>
    </row>
    <row r="84" spans="1:6" x14ac:dyDescent="0.25">
      <c r="A84" t="s">
        <v>8</v>
      </c>
      <c r="B84" t="s">
        <v>18</v>
      </c>
      <c r="C84" t="s">
        <v>27</v>
      </c>
      <c r="D84" t="s">
        <v>39</v>
      </c>
      <c r="E84">
        <v>84</v>
      </c>
      <c r="F84">
        <v>4956</v>
      </c>
    </row>
    <row r="85" spans="1:6" x14ac:dyDescent="0.25">
      <c r="A85" t="s">
        <v>9</v>
      </c>
      <c r="B85" t="s">
        <v>19</v>
      </c>
      <c r="C85" t="s">
        <v>26</v>
      </c>
      <c r="D85" t="s">
        <v>39</v>
      </c>
      <c r="E85">
        <v>84</v>
      </c>
      <c r="F85">
        <v>4956</v>
      </c>
    </row>
    <row r="86" spans="1:6" x14ac:dyDescent="0.25">
      <c r="A86" t="s">
        <v>10</v>
      </c>
      <c r="B86" t="s">
        <v>20</v>
      </c>
      <c r="C86" t="s">
        <v>29</v>
      </c>
      <c r="D86" t="s">
        <v>39</v>
      </c>
      <c r="E86">
        <v>71</v>
      </c>
      <c r="F86">
        <v>5538</v>
      </c>
    </row>
    <row r="87" spans="1:6" x14ac:dyDescent="0.25">
      <c r="A87" t="s">
        <v>11</v>
      </c>
      <c r="B87" t="s">
        <v>21</v>
      </c>
      <c r="C87" t="s">
        <v>30</v>
      </c>
      <c r="D87" t="s">
        <v>39</v>
      </c>
      <c r="E87">
        <v>86</v>
      </c>
      <c r="F87">
        <v>5332</v>
      </c>
    </row>
    <row r="88" spans="1:6" x14ac:dyDescent="0.25">
      <c r="A88" t="s">
        <v>12</v>
      </c>
      <c r="B88" t="s">
        <v>22</v>
      </c>
      <c r="C88" t="s">
        <v>27</v>
      </c>
      <c r="D88" t="s">
        <v>39</v>
      </c>
      <c r="E88">
        <v>77</v>
      </c>
      <c r="F88">
        <v>5390</v>
      </c>
    </row>
    <row r="89" spans="1:6" x14ac:dyDescent="0.25">
      <c r="A89" t="s">
        <v>13</v>
      </c>
      <c r="B89" t="s">
        <v>23</v>
      </c>
      <c r="C89" t="s">
        <v>29</v>
      </c>
      <c r="D89" t="s">
        <v>39</v>
      </c>
      <c r="E89">
        <v>94</v>
      </c>
      <c r="F89">
        <v>5734</v>
      </c>
    </row>
    <row r="90" spans="1:6" x14ac:dyDescent="0.25">
      <c r="A90" t="s">
        <v>14</v>
      </c>
      <c r="B90" t="s">
        <v>24</v>
      </c>
      <c r="C90" t="s">
        <v>28</v>
      </c>
      <c r="D90" t="s">
        <v>39</v>
      </c>
      <c r="E90">
        <v>75</v>
      </c>
      <c r="F90">
        <v>6000</v>
      </c>
    </row>
    <row r="91" spans="1:6" x14ac:dyDescent="0.25">
      <c r="A91" t="s">
        <v>15</v>
      </c>
      <c r="B91" t="s">
        <v>25</v>
      </c>
      <c r="C91" t="s">
        <v>27</v>
      </c>
      <c r="D91" t="s">
        <v>39</v>
      </c>
      <c r="E91">
        <v>71</v>
      </c>
      <c r="F91">
        <v>3479</v>
      </c>
    </row>
    <row r="92" spans="1:6" x14ac:dyDescent="0.25">
      <c r="A92" t="s">
        <v>6</v>
      </c>
      <c r="B92" t="s">
        <v>16</v>
      </c>
      <c r="C92" t="s">
        <v>27</v>
      </c>
      <c r="D92" t="s">
        <v>40</v>
      </c>
      <c r="E92">
        <v>96</v>
      </c>
      <c r="F92">
        <v>6528</v>
      </c>
    </row>
    <row r="93" spans="1:6" x14ac:dyDescent="0.25">
      <c r="A93" t="s">
        <v>7</v>
      </c>
      <c r="B93" t="s">
        <v>17</v>
      </c>
      <c r="C93" t="s">
        <v>30</v>
      </c>
      <c r="D93" t="s">
        <v>40</v>
      </c>
      <c r="E93">
        <v>80</v>
      </c>
      <c r="F93">
        <v>3600</v>
      </c>
    </row>
    <row r="94" spans="1:6" x14ac:dyDescent="0.25">
      <c r="A94" t="s">
        <v>8</v>
      </c>
      <c r="B94" t="s">
        <v>18</v>
      </c>
      <c r="C94" t="s">
        <v>30</v>
      </c>
      <c r="D94" t="s">
        <v>40</v>
      </c>
      <c r="E94">
        <v>86</v>
      </c>
      <c r="F94">
        <v>4644</v>
      </c>
    </row>
    <row r="95" spans="1:6" x14ac:dyDescent="0.25">
      <c r="A95" t="s">
        <v>9</v>
      </c>
      <c r="B95" t="s">
        <v>19</v>
      </c>
      <c r="C95" t="s">
        <v>27</v>
      </c>
      <c r="D95" t="s">
        <v>40</v>
      </c>
      <c r="E95">
        <v>70</v>
      </c>
      <c r="F95">
        <v>4130</v>
      </c>
    </row>
    <row r="96" spans="1:6" x14ac:dyDescent="0.25">
      <c r="A96" t="s">
        <v>10</v>
      </c>
      <c r="B96" t="s">
        <v>20</v>
      </c>
      <c r="C96" t="s">
        <v>29</v>
      </c>
      <c r="D96" t="s">
        <v>40</v>
      </c>
      <c r="E96">
        <v>76</v>
      </c>
      <c r="F96">
        <v>3420</v>
      </c>
    </row>
    <row r="97" spans="1:6" x14ac:dyDescent="0.25">
      <c r="A97" t="s">
        <v>11</v>
      </c>
      <c r="B97" t="s">
        <v>21</v>
      </c>
      <c r="C97" t="s">
        <v>30</v>
      </c>
      <c r="D97" t="s">
        <v>40</v>
      </c>
      <c r="E97">
        <v>98</v>
      </c>
      <c r="F97">
        <v>4018</v>
      </c>
    </row>
    <row r="98" spans="1:6" x14ac:dyDescent="0.25">
      <c r="A98" t="s">
        <v>12</v>
      </c>
      <c r="B98" t="s">
        <v>22</v>
      </c>
      <c r="C98" t="s">
        <v>28</v>
      </c>
      <c r="D98" t="s">
        <v>40</v>
      </c>
      <c r="E98">
        <v>81</v>
      </c>
      <c r="F98">
        <v>3483</v>
      </c>
    </row>
    <row r="99" spans="1:6" x14ac:dyDescent="0.25">
      <c r="A99" t="s">
        <v>13</v>
      </c>
      <c r="B99" t="s">
        <v>23</v>
      </c>
      <c r="C99" t="s">
        <v>30</v>
      </c>
      <c r="D99" t="s">
        <v>40</v>
      </c>
      <c r="E99">
        <v>73</v>
      </c>
      <c r="F99">
        <v>4234</v>
      </c>
    </row>
    <row r="100" spans="1:6" x14ac:dyDescent="0.25">
      <c r="A100" t="s">
        <v>14</v>
      </c>
      <c r="B100" t="s">
        <v>24</v>
      </c>
      <c r="C100" t="s">
        <v>30</v>
      </c>
      <c r="D100" t="s">
        <v>40</v>
      </c>
      <c r="E100">
        <v>86</v>
      </c>
      <c r="F100">
        <v>6794</v>
      </c>
    </row>
    <row r="101" spans="1:6" x14ac:dyDescent="0.25">
      <c r="A101" t="s">
        <v>15</v>
      </c>
      <c r="B101" t="s">
        <v>25</v>
      </c>
      <c r="C101" t="s">
        <v>29</v>
      </c>
      <c r="D101" t="s">
        <v>40</v>
      </c>
      <c r="E101">
        <v>83</v>
      </c>
      <c r="F101">
        <v>5146</v>
      </c>
    </row>
    <row r="102" spans="1:6" x14ac:dyDescent="0.25">
      <c r="A102" t="s">
        <v>6</v>
      </c>
      <c r="B102" t="s">
        <v>16</v>
      </c>
      <c r="C102" t="s">
        <v>30</v>
      </c>
      <c r="D102" t="s">
        <v>41</v>
      </c>
      <c r="E102">
        <v>93</v>
      </c>
      <c r="F102">
        <v>4092</v>
      </c>
    </row>
    <row r="103" spans="1:6" x14ac:dyDescent="0.25">
      <c r="A103" t="s">
        <v>7</v>
      </c>
      <c r="B103" t="s">
        <v>17</v>
      </c>
      <c r="C103" t="s">
        <v>29</v>
      </c>
      <c r="D103" t="s">
        <v>41</v>
      </c>
      <c r="E103">
        <v>92</v>
      </c>
      <c r="F103">
        <v>4600</v>
      </c>
    </row>
    <row r="104" spans="1:6" x14ac:dyDescent="0.25">
      <c r="A104" t="s">
        <v>8</v>
      </c>
      <c r="B104" t="s">
        <v>18</v>
      </c>
      <c r="C104" t="s">
        <v>29</v>
      </c>
      <c r="D104" t="s">
        <v>41</v>
      </c>
      <c r="E104">
        <v>96</v>
      </c>
      <c r="F104">
        <v>4128</v>
      </c>
    </row>
    <row r="105" spans="1:6" x14ac:dyDescent="0.25">
      <c r="A105" t="s">
        <v>9</v>
      </c>
      <c r="B105" t="s">
        <v>19</v>
      </c>
      <c r="C105" t="s">
        <v>27</v>
      </c>
      <c r="D105" t="s">
        <v>41</v>
      </c>
      <c r="E105">
        <v>85</v>
      </c>
      <c r="F105">
        <v>5950</v>
      </c>
    </row>
    <row r="106" spans="1:6" x14ac:dyDescent="0.25">
      <c r="A106" t="s">
        <v>10</v>
      </c>
      <c r="B106" t="s">
        <v>20</v>
      </c>
      <c r="C106" t="s">
        <v>26</v>
      </c>
      <c r="D106" t="s">
        <v>41</v>
      </c>
      <c r="E106">
        <v>91</v>
      </c>
      <c r="F106">
        <v>4004</v>
      </c>
    </row>
    <row r="107" spans="1:6" x14ac:dyDescent="0.25">
      <c r="A107" t="s">
        <v>11</v>
      </c>
      <c r="B107" t="s">
        <v>21</v>
      </c>
      <c r="C107" t="s">
        <v>30</v>
      </c>
      <c r="D107" t="s">
        <v>41</v>
      </c>
      <c r="E107">
        <v>85</v>
      </c>
      <c r="F107">
        <v>6290</v>
      </c>
    </row>
    <row r="108" spans="1:6" x14ac:dyDescent="0.25">
      <c r="A108" t="s">
        <v>12</v>
      </c>
      <c r="B108" t="s">
        <v>22</v>
      </c>
      <c r="C108" t="s">
        <v>26</v>
      </c>
      <c r="D108" t="s">
        <v>41</v>
      </c>
      <c r="E108">
        <v>92</v>
      </c>
      <c r="F108">
        <v>6532</v>
      </c>
    </row>
    <row r="109" spans="1:6" x14ac:dyDescent="0.25">
      <c r="A109" t="s">
        <v>13</v>
      </c>
      <c r="B109" t="s">
        <v>23</v>
      </c>
      <c r="C109" t="s">
        <v>27</v>
      </c>
      <c r="D109" t="s">
        <v>41</v>
      </c>
      <c r="E109">
        <v>77</v>
      </c>
      <c r="F109">
        <v>3157</v>
      </c>
    </row>
    <row r="110" spans="1:6" x14ac:dyDescent="0.25">
      <c r="A110" t="s">
        <v>14</v>
      </c>
      <c r="B110" t="s">
        <v>24</v>
      </c>
      <c r="C110" t="s">
        <v>29</v>
      </c>
      <c r="D110" t="s">
        <v>41</v>
      </c>
      <c r="E110">
        <v>87</v>
      </c>
      <c r="F110">
        <v>5220</v>
      </c>
    </row>
    <row r="111" spans="1:6" x14ac:dyDescent="0.25">
      <c r="A111" t="s">
        <v>15</v>
      </c>
      <c r="B111" t="s">
        <v>25</v>
      </c>
      <c r="C111" t="s">
        <v>30</v>
      </c>
      <c r="D111" t="s">
        <v>41</v>
      </c>
      <c r="E111">
        <v>77</v>
      </c>
      <c r="F111">
        <v>5467</v>
      </c>
    </row>
    <row r="112" spans="1:6" x14ac:dyDescent="0.25">
      <c r="A112" t="s">
        <v>6</v>
      </c>
      <c r="B112" t="s">
        <v>16</v>
      </c>
      <c r="C112" t="s">
        <v>29</v>
      </c>
      <c r="D112" t="s">
        <v>42</v>
      </c>
      <c r="E112">
        <v>71</v>
      </c>
      <c r="F112">
        <v>4899</v>
      </c>
    </row>
    <row r="113" spans="1:6" x14ac:dyDescent="0.25">
      <c r="A113" t="s">
        <v>7</v>
      </c>
      <c r="B113" t="s">
        <v>17</v>
      </c>
      <c r="C113" t="s">
        <v>28</v>
      </c>
      <c r="D113" t="s">
        <v>42</v>
      </c>
      <c r="E113">
        <v>87</v>
      </c>
      <c r="F113">
        <v>4524</v>
      </c>
    </row>
    <row r="114" spans="1:6" x14ac:dyDescent="0.25">
      <c r="A114" t="s">
        <v>8</v>
      </c>
      <c r="B114" t="s">
        <v>18</v>
      </c>
      <c r="C114" t="s">
        <v>29</v>
      </c>
      <c r="D114" t="s">
        <v>42</v>
      </c>
      <c r="E114">
        <v>82</v>
      </c>
      <c r="F114">
        <v>4428</v>
      </c>
    </row>
    <row r="115" spans="1:6" x14ac:dyDescent="0.25">
      <c r="A115" t="s">
        <v>9</v>
      </c>
      <c r="B115" t="s">
        <v>19</v>
      </c>
      <c r="C115" t="s">
        <v>27</v>
      </c>
      <c r="D115" t="s">
        <v>42</v>
      </c>
      <c r="E115">
        <v>89</v>
      </c>
      <c r="F115">
        <v>3560</v>
      </c>
    </row>
    <row r="116" spans="1:6" x14ac:dyDescent="0.25">
      <c r="A116" t="s">
        <v>10</v>
      </c>
      <c r="B116" t="s">
        <v>20</v>
      </c>
      <c r="C116" t="s">
        <v>27</v>
      </c>
      <c r="D116" t="s">
        <v>42</v>
      </c>
      <c r="E116">
        <v>96</v>
      </c>
      <c r="F116">
        <v>6432</v>
      </c>
    </row>
    <row r="117" spans="1:6" x14ac:dyDescent="0.25">
      <c r="A117" t="s">
        <v>11</v>
      </c>
      <c r="B117" t="s">
        <v>21</v>
      </c>
      <c r="C117" t="s">
        <v>30</v>
      </c>
      <c r="D117" t="s">
        <v>42</v>
      </c>
      <c r="E117">
        <v>71</v>
      </c>
      <c r="F117">
        <v>3834</v>
      </c>
    </row>
    <row r="118" spans="1:6" x14ac:dyDescent="0.25">
      <c r="A118" t="s">
        <v>12</v>
      </c>
      <c r="B118" t="s">
        <v>22</v>
      </c>
      <c r="C118" t="s">
        <v>28</v>
      </c>
      <c r="D118" t="s">
        <v>42</v>
      </c>
      <c r="E118">
        <v>75</v>
      </c>
      <c r="F118">
        <v>5775</v>
      </c>
    </row>
    <row r="119" spans="1:6" x14ac:dyDescent="0.25">
      <c r="A119" t="s">
        <v>13</v>
      </c>
      <c r="B119" t="s">
        <v>23</v>
      </c>
      <c r="C119" t="s">
        <v>28</v>
      </c>
      <c r="D119" t="s">
        <v>42</v>
      </c>
      <c r="E119">
        <v>75</v>
      </c>
      <c r="F119">
        <v>4125</v>
      </c>
    </row>
    <row r="120" spans="1:6" x14ac:dyDescent="0.25">
      <c r="A120" t="s">
        <v>14</v>
      </c>
      <c r="B120" t="s">
        <v>24</v>
      </c>
      <c r="C120" t="s">
        <v>30</v>
      </c>
      <c r="D120" t="s">
        <v>42</v>
      </c>
      <c r="E120">
        <v>75</v>
      </c>
      <c r="F120">
        <v>5775</v>
      </c>
    </row>
    <row r="121" spans="1:6" x14ac:dyDescent="0.25">
      <c r="A121" t="s">
        <v>15</v>
      </c>
      <c r="B121" t="s">
        <v>25</v>
      </c>
      <c r="C121" t="s">
        <v>26</v>
      </c>
      <c r="D121" t="s">
        <v>42</v>
      </c>
      <c r="E121">
        <v>73</v>
      </c>
      <c r="F121">
        <v>3285</v>
      </c>
    </row>
    <row r="122" spans="1:6" x14ac:dyDescent="0.25">
      <c r="D122" s="5" t="s">
        <v>43</v>
      </c>
      <c r="E122" s="4">
        <f>SUM(E2:E121)</f>
        <v>10082</v>
      </c>
      <c r="F122" s="4">
        <f>SUM(F2:F121)</f>
        <v>616325</v>
      </c>
    </row>
    <row r="123" spans="1:6" x14ac:dyDescent="0.25">
      <c r="D123" s="5" t="s">
        <v>44</v>
      </c>
      <c r="E123" s="4">
        <f>E122/120</f>
        <v>84.016666666666666</v>
      </c>
      <c r="F123" s="4">
        <f>F122/120</f>
        <v>5136.041666666667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Annual Performance</vt:lpstr>
      <vt:lpstr>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2025-09-08T12:48:18Z</dcterms:created>
  <dcterms:modified xsi:type="dcterms:W3CDTF">2025-10-03T13:49:18Z</dcterms:modified>
</cp:coreProperties>
</file>